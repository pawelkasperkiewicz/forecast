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en_skoroszyt"/>
  <mc:AlternateContent xmlns:mc="http://schemas.openxmlformats.org/markup-compatibility/2006">
    <mc:Choice Requires="x15">
      <x15ac:absPath xmlns:x15ac="http://schemas.microsoft.com/office/spreadsheetml/2010/11/ac" url="D:\Dane użytkowników\Pawel\Edukacja\Analityka gospodarcza\Semestr IV\AGSC\Analiza harmoniczna Furiera\"/>
    </mc:Choice>
  </mc:AlternateContent>
  <xr:revisionPtr revIDLastSave="0" documentId="10_ncr:8100000_{385A343B-AC78-4618-92A9-199E21FE64DE}" xr6:coauthVersionLast="33" xr6:coauthVersionMax="33" xr10:uidLastSave="{00000000-0000-0000-0000-000000000000}"/>
  <bookViews>
    <workbookView xWindow="0" yWindow="0" windowWidth="22260" windowHeight="12645" activeTab="2" xr2:uid="{00000000-000D-0000-FFFF-FFFF00000000}"/>
  </bookViews>
  <sheets>
    <sheet name="Dane empiryczne" sheetId="3" r:id="rId1"/>
    <sheet name="Fourier multi, liniowy" sheetId="5" r:id="rId2"/>
    <sheet name="Fourier addytywne, liniowy" sheetId="4" r:id="rId3"/>
    <sheet name="Porównanie metod" sheetId="6" r:id="rId4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5" i="4" l="1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P4" i="4"/>
  <c r="T27" i="4" l="1"/>
  <c r="H4" i="5" l="1"/>
  <c r="H8" i="5"/>
  <c r="H12" i="5"/>
  <c r="H16" i="5"/>
  <c r="H20" i="5"/>
  <c r="H32" i="5"/>
  <c r="H44" i="5"/>
  <c r="H56" i="5"/>
  <c r="H5" i="5"/>
  <c r="H9" i="5"/>
  <c r="H13" i="5"/>
  <c r="H17" i="5"/>
  <c r="H21" i="5"/>
  <c r="H25" i="5"/>
  <c r="H29" i="5"/>
  <c r="H33" i="5"/>
  <c r="H37" i="5"/>
  <c r="H41" i="5"/>
  <c r="H45" i="5"/>
  <c r="H49" i="5"/>
  <c r="H53" i="5"/>
  <c r="H57" i="5"/>
  <c r="H11" i="5"/>
  <c r="H19" i="5"/>
  <c r="H27" i="5"/>
  <c r="H35" i="5"/>
  <c r="H43" i="5"/>
  <c r="H51" i="5"/>
  <c r="H24" i="5"/>
  <c r="H36" i="5"/>
  <c r="H48" i="5"/>
  <c r="H6" i="5"/>
  <c r="H10" i="5"/>
  <c r="H14" i="5"/>
  <c r="H18" i="5"/>
  <c r="H22" i="5"/>
  <c r="H26" i="5"/>
  <c r="H30" i="5"/>
  <c r="H34" i="5"/>
  <c r="H38" i="5"/>
  <c r="H42" i="5"/>
  <c r="H46" i="5"/>
  <c r="H50" i="5"/>
  <c r="H54" i="5"/>
  <c r="H7" i="5"/>
  <c r="H15" i="5"/>
  <c r="H23" i="5"/>
  <c r="H31" i="5"/>
  <c r="H39" i="5"/>
  <c r="H47" i="5"/>
  <c r="H55" i="5"/>
  <c r="H28" i="5"/>
  <c r="H40" i="5"/>
  <c r="H52" i="5"/>
  <c r="H3" i="5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I52" i="5"/>
  <c r="J52" i="5" s="1"/>
  <c r="I53" i="5"/>
  <c r="J53" i="5" s="1"/>
  <c r="I54" i="5"/>
  <c r="J54" i="5" s="1"/>
  <c r="I55" i="5"/>
  <c r="J55" i="5" s="1"/>
  <c r="I56" i="5"/>
  <c r="J56" i="5" s="1"/>
  <c r="I57" i="5"/>
  <c r="J57" i="5" s="1"/>
  <c r="A47" i="5"/>
  <c r="A48" i="5"/>
  <c r="A49" i="5"/>
  <c r="A50" i="5"/>
  <c r="A51" i="5"/>
  <c r="A52" i="5"/>
  <c r="A53" i="5"/>
  <c r="A54" i="5"/>
  <c r="A55" i="5"/>
  <c r="A56" i="5"/>
  <c r="A57" i="5"/>
  <c r="A46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3" i="5"/>
  <c r="E5" i="5" l="1"/>
  <c r="D5" i="5"/>
  <c r="F47" i="5" s="1"/>
  <c r="I55" i="4"/>
  <c r="I51" i="4"/>
  <c r="I47" i="4"/>
  <c r="I43" i="4"/>
  <c r="I39" i="4"/>
  <c r="I35" i="4"/>
  <c r="I31" i="4"/>
  <c r="I27" i="4"/>
  <c r="I23" i="4"/>
  <c r="I19" i="4"/>
  <c r="I15" i="4"/>
  <c r="I11" i="4"/>
  <c r="I7" i="4"/>
  <c r="I54" i="4"/>
  <c r="I50" i="4"/>
  <c r="I46" i="4"/>
  <c r="I42" i="4"/>
  <c r="I38" i="4"/>
  <c r="I34" i="4"/>
  <c r="I30" i="4"/>
  <c r="I26" i="4"/>
  <c r="I22" i="4"/>
  <c r="I18" i="4"/>
  <c r="I14" i="4"/>
  <c r="I10" i="4"/>
  <c r="I6" i="4"/>
  <c r="I53" i="4"/>
  <c r="I45" i="4"/>
  <c r="I37" i="4"/>
  <c r="I29" i="4"/>
  <c r="I21" i="4"/>
  <c r="I13" i="4"/>
  <c r="I5" i="4"/>
  <c r="I57" i="4"/>
  <c r="I49" i="4"/>
  <c r="I41" i="4"/>
  <c r="I33" i="4"/>
  <c r="I25" i="4"/>
  <c r="I17" i="4"/>
  <c r="I9" i="4"/>
  <c r="I56" i="4"/>
  <c r="I52" i="4"/>
  <c r="I48" i="4"/>
  <c r="I44" i="4"/>
  <c r="I40" i="4"/>
  <c r="I36" i="4"/>
  <c r="I32" i="4"/>
  <c r="I28" i="4"/>
  <c r="I24" i="4"/>
  <c r="I20" i="4"/>
  <c r="I16" i="4"/>
  <c r="I12" i="4"/>
  <c r="I8" i="4"/>
  <c r="I4" i="4"/>
  <c r="I3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4" i="4"/>
  <c r="D5" i="4"/>
  <c r="E5" i="4"/>
  <c r="Q17" i="4"/>
  <c r="Q20" i="4"/>
  <c r="Q18" i="4"/>
  <c r="Q11" i="4"/>
  <c r="Q8" i="4"/>
  <c r="P18" i="4"/>
  <c r="P11" i="4"/>
  <c r="P9" i="4"/>
  <c r="P20" i="4"/>
  <c r="P23" i="4"/>
  <c r="Q23" i="4"/>
  <c r="P8" i="4"/>
  <c r="Q5" i="4"/>
  <c r="Q21" i="4"/>
  <c r="Q6" i="4"/>
  <c r="Q22" i="4"/>
  <c r="Q15" i="4"/>
  <c r="Q24" i="4"/>
  <c r="P14" i="4"/>
  <c r="P21" i="4"/>
  <c r="P5" i="4"/>
  <c r="P16" i="4"/>
  <c r="P19" i="4"/>
  <c r="Q16" i="4"/>
  <c r="Q7" i="4"/>
  <c r="P6" i="4"/>
  <c r="P7" i="4"/>
  <c r="P25" i="4"/>
  <c r="Q9" i="4"/>
  <c r="Q25" i="4"/>
  <c r="Q10" i="4"/>
  <c r="Q12" i="4"/>
  <c r="Q19" i="4"/>
  <c r="Q4" i="4"/>
  <c r="P10" i="4"/>
  <c r="P17" i="4"/>
  <c r="P15" i="4"/>
  <c r="P12" i="4"/>
  <c r="P24" i="4"/>
  <c r="Q13" i="4"/>
  <c r="Q14" i="4"/>
  <c r="P22" i="4"/>
  <c r="P13" i="4"/>
  <c r="F10" i="5" l="1"/>
  <c r="G10" i="5" s="1"/>
  <c r="F23" i="5"/>
  <c r="G23" i="5" s="1"/>
  <c r="F24" i="5"/>
  <c r="G24" i="5" s="1"/>
  <c r="F37" i="5"/>
  <c r="G37" i="5" s="1"/>
  <c r="F9" i="5"/>
  <c r="G9" i="5" s="1"/>
  <c r="F4" i="5"/>
  <c r="G4" i="5" s="1"/>
  <c r="F17" i="5"/>
  <c r="G17" i="5" s="1"/>
  <c r="F25" i="5"/>
  <c r="G25" i="5" s="1"/>
  <c r="F49" i="5"/>
  <c r="F18" i="5"/>
  <c r="G18" i="5" s="1"/>
  <c r="F26" i="5"/>
  <c r="G26" i="5" s="1"/>
  <c r="F30" i="5"/>
  <c r="G30" i="5" s="1"/>
  <c r="F34" i="5"/>
  <c r="G34" i="5" s="1"/>
  <c r="F38" i="5"/>
  <c r="G38" i="5" s="1"/>
  <c r="F42" i="5"/>
  <c r="G42" i="5" s="1"/>
  <c r="F46" i="5"/>
  <c r="F12" i="5"/>
  <c r="G12" i="5" s="1"/>
  <c r="F14" i="5"/>
  <c r="G14" i="5" s="1"/>
  <c r="F16" i="5"/>
  <c r="G16" i="5" s="1"/>
  <c r="F33" i="5"/>
  <c r="G33" i="5" s="1"/>
  <c r="F13" i="5"/>
  <c r="G13" i="5" s="1"/>
  <c r="F51" i="5"/>
  <c r="F55" i="5"/>
  <c r="F19" i="5"/>
  <c r="G19" i="5" s="1"/>
  <c r="F48" i="5"/>
  <c r="F53" i="5"/>
  <c r="F20" i="5"/>
  <c r="G20" i="5" s="1"/>
  <c r="F27" i="5"/>
  <c r="G27" i="5" s="1"/>
  <c r="F31" i="5"/>
  <c r="G31" i="5" s="1"/>
  <c r="F35" i="5"/>
  <c r="G35" i="5" s="1"/>
  <c r="F39" i="5"/>
  <c r="G39" i="5" s="1"/>
  <c r="F43" i="5"/>
  <c r="G43" i="5" s="1"/>
  <c r="F50" i="5"/>
  <c r="F5" i="5"/>
  <c r="G5" i="5" s="1"/>
  <c r="F7" i="5"/>
  <c r="G7" i="5" s="1"/>
  <c r="F8" i="5"/>
  <c r="G8" i="5" s="1"/>
  <c r="N20" i="5" s="1"/>
  <c r="F56" i="5"/>
  <c r="F29" i="5"/>
  <c r="G29" i="5" s="1"/>
  <c r="F41" i="5"/>
  <c r="G41" i="5" s="1"/>
  <c r="F45" i="5"/>
  <c r="G45" i="5" s="1"/>
  <c r="F11" i="5"/>
  <c r="G11" i="5" s="1"/>
  <c r="F15" i="5"/>
  <c r="G15" i="5" s="1"/>
  <c r="F21" i="5"/>
  <c r="G21" i="5" s="1"/>
  <c r="F52" i="5"/>
  <c r="F57" i="5"/>
  <c r="F22" i="5"/>
  <c r="G22" i="5" s="1"/>
  <c r="F28" i="5"/>
  <c r="G28" i="5" s="1"/>
  <c r="F32" i="5"/>
  <c r="G32" i="5" s="1"/>
  <c r="F36" i="5"/>
  <c r="G36" i="5" s="1"/>
  <c r="F40" i="5"/>
  <c r="G40" i="5" s="1"/>
  <c r="F44" i="5"/>
  <c r="G44" i="5" s="1"/>
  <c r="F54" i="5"/>
  <c r="F3" i="5"/>
  <c r="G3" i="5" s="1"/>
  <c r="F6" i="5"/>
  <c r="G6" i="5" s="1"/>
  <c r="F43" i="4"/>
  <c r="G43" i="4" s="1"/>
  <c r="F39" i="4"/>
  <c r="G39" i="4" s="1"/>
  <c r="F35" i="4"/>
  <c r="G35" i="4" s="1"/>
  <c r="F31" i="4"/>
  <c r="G31" i="4" s="1"/>
  <c r="F27" i="4"/>
  <c r="G27" i="4" s="1"/>
  <c r="F23" i="4"/>
  <c r="G23" i="4" s="1"/>
  <c r="F19" i="4"/>
  <c r="G19" i="4" s="1"/>
  <c r="F15" i="4"/>
  <c r="G15" i="4" s="1"/>
  <c r="F11" i="4"/>
  <c r="G11" i="4" s="1"/>
  <c r="F7" i="4"/>
  <c r="G7" i="4" s="1"/>
  <c r="F3" i="4"/>
  <c r="G3" i="4" s="1"/>
  <c r="F44" i="4"/>
  <c r="G44" i="4" s="1"/>
  <c r="F40" i="4"/>
  <c r="G40" i="4" s="1"/>
  <c r="F36" i="4"/>
  <c r="G36" i="4" s="1"/>
  <c r="F32" i="4"/>
  <c r="G32" i="4" s="1"/>
  <c r="F28" i="4"/>
  <c r="G28" i="4" s="1"/>
  <c r="F24" i="4"/>
  <c r="G24" i="4" s="1"/>
  <c r="F20" i="4"/>
  <c r="G20" i="4" s="1"/>
  <c r="F16" i="4"/>
  <c r="G16" i="4" s="1"/>
  <c r="F12" i="4"/>
  <c r="G12" i="4" s="1"/>
  <c r="F8" i="4"/>
  <c r="G8" i="4" s="1"/>
  <c r="F4" i="4"/>
  <c r="G4" i="4" s="1"/>
  <c r="F45" i="4"/>
  <c r="G45" i="4" s="1"/>
  <c r="F41" i="4"/>
  <c r="G41" i="4" s="1"/>
  <c r="F37" i="4"/>
  <c r="G37" i="4" s="1"/>
  <c r="F33" i="4"/>
  <c r="G33" i="4" s="1"/>
  <c r="F29" i="4"/>
  <c r="G29" i="4" s="1"/>
  <c r="F25" i="4"/>
  <c r="G25" i="4" s="1"/>
  <c r="F21" i="4"/>
  <c r="G21" i="4" s="1"/>
  <c r="F17" i="4"/>
  <c r="G17" i="4" s="1"/>
  <c r="F13" i="4"/>
  <c r="G13" i="4" s="1"/>
  <c r="F9" i="4"/>
  <c r="G9" i="4" s="1"/>
  <c r="F5" i="4"/>
  <c r="G5" i="4" s="1"/>
  <c r="F54" i="4"/>
  <c r="F50" i="4"/>
  <c r="F46" i="4"/>
  <c r="F30" i="4"/>
  <c r="G30" i="4" s="1"/>
  <c r="F14" i="4"/>
  <c r="G14" i="4" s="1"/>
  <c r="F57" i="4"/>
  <c r="F53" i="4"/>
  <c r="F49" i="4"/>
  <c r="F34" i="4"/>
  <c r="G34" i="4" s="1"/>
  <c r="F18" i="4"/>
  <c r="G18" i="4" s="1"/>
  <c r="F56" i="4"/>
  <c r="F52" i="4"/>
  <c r="F48" i="4"/>
  <c r="F38" i="4"/>
  <c r="G38" i="4" s="1"/>
  <c r="F22" i="4"/>
  <c r="G22" i="4" s="1"/>
  <c r="F6" i="4"/>
  <c r="G6" i="4" s="1"/>
  <c r="F51" i="4"/>
  <c r="F10" i="4"/>
  <c r="G10" i="4" s="1"/>
  <c r="F47" i="4"/>
  <c r="F26" i="4"/>
  <c r="G26" i="4" s="1"/>
  <c r="F55" i="4"/>
  <c r="F42" i="4"/>
  <c r="G42" i="4" s="1"/>
  <c r="Q19" i="5"/>
  <c r="P23" i="5"/>
  <c r="P15" i="5"/>
  <c r="P7" i="5"/>
  <c r="Q20" i="5"/>
  <c r="Q12" i="5"/>
  <c r="P18" i="5"/>
  <c r="Q6" i="5"/>
  <c r="P4" i="5"/>
  <c r="P24" i="5"/>
  <c r="Q7" i="5"/>
  <c r="P9" i="5"/>
  <c r="P20" i="5"/>
  <c r="P6" i="5"/>
  <c r="Q25" i="5"/>
  <c r="Q17" i="5"/>
  <c r="P21" i="5"/>
  <c r="P13" i="5"/>
  <c r="P5" i="5"/>
  <c r="Q18" i="5"/>
  <c r="Q11" i="5"/>
  <c r="Q14" i="5"/>
  <c r="Q5" i="5"/>
  <c r="P22" i="5"/>
  <c r="P16" i="5"/>
  <c r="P25" i="5"/>
  <c r="Q22" i="5"/>
  <c r="P12" i="5"/>
  <c r="Q8" i="5"/>
  <c r="Q23" i="5"/>
  <c r="Q15" i="5"/>
  <c r="P19" i="5"/>
  <c r="P11" i="5"/>
  <c r="Q24" i="5"/>
  <c r="Q16" i="5"/>
  <c r="P10" i="5"/>
  <c r="Q13" i="5"/>
  <c r="Q4" i="5"/>
  <c r="Q10" i="5"/>
  <c r="P14" i="5"/>
  <c r="P17" i="5"/>
  <c r="Q9" i="5"/>
  <c r="P8" i="5"/>
  <c r="Q21" i="5"/>
  <c r="N12" i="5" l="1"/>
  <c r="N4" i="5"/>
  <c r="N10" i="5"/>
  <c r="N22" i="5"/>
  <c r="N5" i="5"/>
  <c r="N19" i="5"/>
  <c r="I49" i="5"/>
  <c r="J49" i="5" s="1"/>
  <c r="I46" i="5"/>
  <c r="J46" i="5" s="1"/>
  <c r="I50" i="5"/>
  <c r="J50" i="5" s="1"/>
  <c r="I47" i="5"/>
  <c r="J47" i="5" s="1"/>
  <c r="I51" i="5"/>
  <c r="J51" i="5" s="1"/>
  <c r="I48" i="5"/>
  <c r="J48" i="5" s="1"/>
  <c r="N13" i="5"/>
  <c r="N11" i="5"/>
  <c r="N8" i="5"/>
  <c r="N21" i="5"/>
  <c r="N16" i="5"/>
  <c r="N24" i="5"/>
  <c r="N6" i="5"/>
  <c r="N15" i="5"/>
  <c r="N9" i="5"/>
  <c r="N23" i="5"/>
  <c r="N18" i="5"/>
  <c r="N14" i="5"/>
  <c r="N7" i="5"/>
  <c r="N17" i="5"/>
  <c r="N25" i="5"/>
  <c r="I41" i="5"/>
  <c r="I5" i="5"/>
  <c r="I33" i="5"/>
  <c r="I6" i="5"/>
  <c r="I10" i="5"/>
  <c r="I14" i="5"/>
  <c r="I18" i="5"/>
  <c r="I22" i="5"/>
  <c r="I26" i="5"/>
  <c r="I30" i="5"/>
  <c r="I34" i="5"/>
  <c r="I38" i="5"/>
  <c r="I42" i="5"/>
  <c r="I7" i="5"/>
  <c r="I11" i="5"/>
  <c r="I15" i="5"/>
  <c r="I19" i="5"/>
  <c r="I23" i="5"/>
  <c r="I27" i="5"/>
  <c r="I31" i="5"/>
  <c r="I35" i="5"/>
  <c r="I39" i="5"/>
  <c r="I43" i="5"/>
  <c r="I4" i="5"/>
  <c r="I8" i="5"/>
  <c r="I12" i="5"/>
  <c r="I16" i="5"/>
  <c r="I20" i="5"/>
  <c r="I24" i="5"/>
  <c r="I28" i="5"/>
  <c r="I32" i="5"/>
  <c r="I36" i="5"/>
  <c r="I40" i="5"/>
  <c r="I44" i="5"/>
  <c r="I9" i="5"/>
  <c r="I13" i="5"/>
  <c r="I17" i="5"/>
  <c r="I21" i="5"/>
  <c r="I25" i="5"/>
  <c r="I29" i="5"/>
  <c r="I37" i="5"/>
  <c r="I45" i="5"/>
  <c r="I3" i="5"/>
  <c r="R14" i="5"/>
  <c r="R16" i="5"/>
  <c r="R24" i="5"/>
  <c r="R8" i="5"/>
  <c r="R22" i="5"/>
  <c r="R4" i="5"/>
  <c r="R6" i="5"/>
  <c r="R12" i="5"/>
  <c r="R18" i="5"/>
  <c r="R10" i="5"/>
  <c r="R20" i="5"/>
  <c r="R5" i="5"/>
  <c r="R7" i="5"/>
  <c r="R9" i="5"/>
  <c r="R11" i="5"/>
  <c r="T11" i="5" s="1"/>
  <c r="R13" i="5"/>
  <c r="R15" i="5"/>
  <c r="R17" i="5"/>
  <c r="R19" i="5"/>
  <c r="R21" i="5"/>
  <c r="R23" i="5"/>
  <c r="S23" i="5" s="1"/>
  <c r="R25" i="5"/>
  <c r="T24" i="5"/>
  <c r="T6" i="5"/>
  <c r="T20" i="5"/>
  <c r="T19" i="5"/>
  <c r="T8" i="5"/>
  <c r="T14" i="5"/>
  <c r="T22" i="5"/>
  <c r="T18" i="5"/>
  <c r="T7" i="5"/>
  <c r="T15" i="5"/>
  <c r="T23" i="5"/>
  <c r="R24" i="4"/>
  <c r="R16" i="4"/>
  <c r="R8" i="4"/>
  <c r="R4" i="4"/>
  <c r="R20" i="4"/>
  <c r="R12" i="4"/>
  <c r="T25" i="5" l="1"/>
  <c r="S25" i="5"/>
  <c r="T17" i="5"/>
  <c r="S17" i="5"/>
  <c r="T9" i="5"/>
  <c r="S9" i="5"/>
  <c r="T10" i="5"/>
  <c r="S10" i="5"/>
  <c r="S16" i="5"/>
  <c r="S15" i="5"/>
  <c r="S7" i="5"/>
  <c r="S18" i="5"/>
  <c r="S22" i="5"/>
  <c r="S14" i="5"/>
  <c r="T21" i="5"/>
  <c r="S21" i="5"/>
  <c r="T13" i="5"/>
  <c r="S13" i="5"/>
  <c r="T5" i="5"/>
  <c r="S5" i="5"/>
  <c r="S12" i="5"/>
  <c r="S8" i="5"/>
  <c r="S19" i="5"/>
  <c r="S11" i="5"/>
  <c r="S20" i="5"/>
  <c r="S6" i="5"/>
  <c r="S24" i="5"/>
  <c r="T12" i="5"/>
  <c r="T16" i="5"/>
  <c r="K48" i="5"/>
  <c r="K55" i="5"/>
  <c r="K51" i="5"/>
  <c r="K54" i="5"/>
  <c r="K53" i="5"/>
  <c r="K57" i="5"/>
  <c r="K47" i="5"/>
  <c r="K50" i="5"/>
  <c r="K49" i="5"/>
  <c r="K56" i="5"/>
  <c r="K46" i="5"/>
  <c r="K52" i="5"/>
  <c r="R18" i="4"/>
  <c r="R10" i="4"/>
  <c r="R19" i="4"/>
  <c r="R11" i="4"/>
  <c r="R25" i="4"/>
  <c r="R17" i="4"/>
  <c r="R9" i="4"/>
  <c r="R22" i="4"/>
  <c r="R14" i="4"/>
  <c r="R6" i="4"/>
  <c r="R23" i="4"/>
  <c r="R15" i="4"/>
  <c r="R7" i="4"/>
  <c r="R21" i="4"/>
  <c r="R13" i="4"/>
  <c r="R5" i="4"/>
  <c r="J46" i="4"/>
  <c r="K46" i="4" s="1"/>
  <c r="J53" i="4"/>
  <c r="K53" i="4" s="1"/>
  <c r="J49" i="4"/>
  <c r="K49" i="4" s="1"/>
  <c r="J52" i="4"/>
  <c r="K52" i="4" s="1"/>
  <c r="J54" i="4"/>
  <c r="K54" i="4" s="1"/>
  <c r="J50" i="4"/>
  <c r="K50" i="4" s="1"/>
  <c r="J56" i="4"/>
  <c r="K56" i="4" s="1"/>
  <c r="J55" i="4"/>
  <c r="K55" i="4" s="1"/>
  <c r="J51" i="4"/>
  <c r="K51" i="4" s="1"/>
  <c r="J57" i="4"/>
  <c r="K57" i="4" s="1"/>
  <c r="J47" i="4"/>
  <c r="K47" i="4" s="1"/>
  <c r="J48" i="4"/>
  <c r="K48" i="4" s="1"/>
  <c r="K58" i="5" l="1"/>
  <c r="K58" i="4"/>
  <c r="S20" i="4"/>
  <c r="S7" i="4"/>
  <c r="S25" i="4"/>
  <c r="S18" i="4"/>
  <c r="S23" i="4"/>
  <c r="S6" i="4"/>
  <c r="S5" i="4"/>
  <c r="S19" i="4"/>
  <c r="S15" i="4"/>
  <c r="S10" i="4"/>
  <c r="S13" i="4"/>
  <c r="S16" i="4"/>
  <c r="S4" i="4"/>
  <c r="S8" i="4"/>
  <c r="S12" i="4"/>
  <c r="S24" i="4"/>
  <c r="S22" i="4"/>
  <c r="S17" i="4"/>
  <c r="S9" i="4"/>
  <c r="S14" i="4"/>
  <c r="S21" i="4"/>
  <c r="S11" i="4"/>
</calcChain>
</file>

<file path=xl/sharedStrings.xml><?xml version="1.0" encoding="utf-8"?>
<sst xmlns="http://schemas.openxmlformats.org/spreadsheetml/2006/main" count="172" uniqueCount="85">
  <si>
    <t>Dane empiryczne</t>
  </si>
  <si>
    <r>
      <t xml:space="preserve">Produkcja urządzeń elektrycznych                                                                                                                                                </t>
    </r>
    <r>
      <rPr>
        <i/>
        <sz val="8"/>
        <color indexed="10"/>
        <rFont val="Arial"/>
        <family val="2"/>
        <charset val="238"/>
      </rPr>
      <t>Manufacture of electrical equipment</t>
    </r>
    <r>
      <rPr>
        <sz val="8"/>
        <rFont val="Arial"/>
        <family val="2"/>
        <charset val="238"/>
      </rPr>
      <t xml:space="preserve"> 
</t>
    </r>
  </si>
  <si>
    <t>IX.13</t>
  </si>
  <si>
    <t>X.13</t>
  </si>
  <si>
    <t>XI.13</t>
  </si>
  <si>
    <t>XII.13</t>
  </si>
  <si>
    <t>I.14</t>
  </si>
  <si>
    <t>II.14</t>
  </si>
  <si>
    <t>III.14</t>
  </si>
  <si>
    <t>IV.14</t>
  </si>
  <si>
    <t>V.14</t>
  </si>
  <si>
    <t>VI.14</t>
  </si>
  <si>
    <t>VII.14</t>
  </si>
  <si>
    <t>VIII.14</t>
  </si>
  <si>
    <t>IX.14</t>
  </si>
  <si>
    <t>X.14</t>
  </si>
  <si>
    <t>XI.14</t>
  </si>
  <si>
    <t>XII.14</t>
  </si>
  <si>
    <t>I.15</t>
  </si>
  <si>
    <t>II.15</t>
  </si>
  <si>
    <t>III.15</t>
  </si>
  <si>
    <t>IV.15</t>
  </si>
  <si>
    <t>V.15</t>
  </si>
  <si>
    <t>VI.15</t>
  </si>
  <si>
    <t>VII.15</t>
  </si>
  <si>
    <t>VIII.15</t>
  </si>
  <si>
    <t>IX.15</t>
  </si>
  <si>
    <t>X.15</t>
  </si>
  <si>
    <t>XI.15</t>
  </si>
  <si>
    <t>XII.15</t>
  </si>
  <si>
    <t>I.16</t>
  </si>
  <si>
    <t>II.16</t>
  </si>
  <si>
    <t>III.16</t>
  </si>
  <si>
    <t>IV.16</t>
  </si>
  <si>
    <t>V.16</t>
  </si>
  <si>
    <t>VI.16</t>
  </si>
  <si>
    <t>VII.16</t>
  </si>
  <si>
    <t>VIII.16</t>
  </si>
  <si>
    <t>IX.16</t>
  </si>
  <si>
    <t>X.16</t>
  </si>
  <si>
    <t>XI.16</t>
  </si>
  <si>
    <t>XII.16</t>
  </si>
  <si>
    <t>I.17</t>
  </si>
  <si>
    <t>II.17</t>
  </si>
  <si>
    <t>III.17</t>
  </si>
  <si>
    <t>IV.17</t>
  </si>
  <si>
    <t>V.17</t>
  </si>
  <si>
    <t>VI.17</t>
  </si>
  <si>
    <t>VII.17</t>
  </si>
  <si>
    <t>VIII.17</t>
  </si>
  <si>
    <t>IX.17</t>
  </si>
  <si>
    <t>X.17</t>
  </si>
  <si>
    <t>XI.17</t>
  </si>
  <si>
    <t>XII.17</t>
  </si>
  <si>
    <t>I.18</t>
  </si>
  <si>
    <t>II.18</t>
  </si>
  <si>
    <t>III.18</t>
  </si>
  <si>
    <t>trend</t>
  </si>
  <si>
    <t>a</t>
  </si>
  <si>
    <t>b</t>
  </si>
  <si>
    <t>trend parametry</t>
  </si>
  <si>
    <t>addytywny</t>
  </si>
  <si>
    <t>harmoniki</t>
  </si>
  <si>
    <t>Fourier</t>
  </si>
  <si>
    <t>trend + fourier</t>
  </si>
  <si>
    <t>Var</t>
  </si>
  <si>
    <t>okres</t>
  </si>
  <si>
    <t>ważne harmoniki</t>
  </si>
  <si>
    <t>predykcja</t>
  </si>
  <si>
    <t>% udział w wariancji</t>
  </si>
  <si>
    <t>multiplikatywny</t>
  </si>
  <si>
    <t>Model (1,1,0)(0,0,0) z interwencją (85, 97)</t>
  </si>
  <si>
    <t>Prognoza</t>
  </si>
  <si>
    <t>Błąd</t>
  </si>
  <si>
    <t>BIC</t>
  </si>
  <si>
    <t>AIC</t>
  </si>
  <si>
    <t>MS</t>
  </si>
  <si>
    <t>S-AR-I-MA</t>
  </si>
  <si>
    <t>prognoza multi.</t>
  </si>
  <si>
    <t>błąd multi.</t>
  </si>
  <si>
    <t>Wskaźniki multiplikatywne</t>
  </si>
  <si>
    <t>Model H-W.
Trend lin. mult.sezon.; Alfa= ,494 Delta=0,00 Gamma=0,00_x000D_</t>
  </si>
  <si>
    <t>prognoza</t>
  </si>
  <si>
    <t>błąd</t>
  </si>
  <si>
    <t>Predykcja za pomocą analizy widmowej. Trend liniowy, wskaźniki multiplikatywne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</si>
</sst>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7" formatCode="0.0000%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8"/>
      <name val="Arial"/>
      <family val="2"/>
      <charset val="238"/>
    </font>
    <font>
      <i/>
      <sz val="8"/>
      <color indexed="10"/>
      <name val="Arial"/>
      <family val="2"/>
      <charset val="238"/>
    </font>
    <font>
      <b/>
      <sz val="8"/>
      <name val="Arial"/>
      <family val="2"/>
      <charset val="238"/>
    </font>
    <font>
      <sz val="11"/>
      <color theme="1"/>
      <name val="Czcionka tekstu podstawowego"/>
      <family val="2"/>
      <charset val="238"/>
    </font>
    <font>
      <sz val="8"/>
      <color rgb="FFFF0000"/>
      <name val="Arial"/>
      <family val="2"/>
      <charset val="23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6">
    <xf numFmtId="0" fontId="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7" fillId="0" borderId="0" applyFont="0" applyFill="0" applyBorder="0" applyAlignment="0" applyProtection="0"/>
  </cellStyleXfs>
  <cellXfs count="53">
    <xf numFmtId="0" fontId="0" fillId="0" borderId="0" xfId="0"/>
    <xf numFmtId="0" fontId="1" fillId="0" borderId="0" xfId="0" applyFont="1"/>
    <xf numFmtId="1" fontId="2" fillId="0" borderId="0" xfId="0" applyNumberFormat="1" applyFont="1" applyFill="1" applyBorder="1" applyAlignment="1">
      <alignment vertical="top" wrapText="1"/>
    </xf>
    <xf numFmtId="1" fontId="4" fillId="0" borderId="0" xfId="0" applyNumberFormat="1" applyFont="1" applyFill="1" applyBorder="1" applyAlignment="1">
      <alignment horizontal="center" wrapText="1"/>
    </xf>
    <xf numFmtId="0" fontId="4" fillId="0" borderId="0" xfId="0" applyFont="1" applyFill="1" applyAlignment="1">
      <alignment horizontal="center"/>
    </xf>
    <xf numFmtId="164" fontId="2" fillId="0" borderId="0" xfId="0" applyNumberFormat="1" applyFont="1" applyFill="1" applyAlignment="1"/>
    <xf numFmtId="164" fontId="2" fillId="0" borderId="0" xfId="0" applyNumberFormat="1" applyFont="1" applyFill="1"/>
    <xf numFmtId="164" fontId="2" fillId="0" borderId="0" xfId="0" applyNumberFormat="1" applyFont="1" applyFill="1" applyBorder="1" applyAlignment="1">
      <alignment horizontal="right"/>
    </xf>
    <xf numFmtId="164" fontId="2" fillId="0" borderId="0" xfId="1" applyNumberFormat="1" applyFont="1" applyFill="1" applyBorder="1" applyAlignment="1">
      <alignment horizontal="right"/>
    </xf>
    <xf numFmtId="164" fontId="2" fillId="0" borderId="0" xfId="2" applyNumberFormat="1" applyFont="1" applyFill="1" applyBorder="1" applyAlignment="1" applyProtection="1">
      <alignment horizontal="right"/>
    </xf>
    <xf numFmtId="164" fontId="2" fillId="0" borderId="0" xfId="3" applyNumberFormat="1" applyFont="1" applyFill="1" applyBorder="1" applyAlignment="1" applyProtection="1">
      <alignment horizontal="right"/>
    </xf>
    <xf numFmtId="164" fontId="2" fillId="0" borderId="0" xfId="4" applyNumberFormat="1" applyFont="1" applyFill="1" applyBorder="1" applyAlignment="1" applyProtection="1">
      <alignment horizontal="right"/>
    </xf>
    <xf numFmtId="164" fontId="2" fillId="0" borderId="0" xfId="5" applyNumberFormat="1" applyFont="1" applyFill="1" applyBorder="1" applyAlignment="1" applyProtection="1">
      <alignment horizontal="right"/>
    </xf>
    <xf numFmtId="164" fontId="2" fillId="0" borderId="0" xfId="6" applyNumberFormat="1" applyFont="1" applyFill="1" applyBorder="1" applyAlignment="1" applyProtection="1">
      <alignment horizontal="right"/>
    </xf>
    <xf numFmtId="164" fontId="2" fillId="0" borderId="0" xfId="7" applyNumberFormat="1" applyFont="1" applyFill="1" applyBorder="1" applyAlignment="1" applyProtection="1">
      <alignment horizontal="right"/>
    </xf>
    <xf numFmtId="164" fontId="2" fillId="0" borderId="0" xfId="8" applyNumberFormat="1" applyFont="1" applyFill="1" applyBorder="1" applyAlignment="1" applyProtection="1">
      <alignment horizontal="right"/>
    </xf>
    <xf numFmtId="164" fontId="2" fillId="0" borderId="0" xfId="9" applyNumberFormat="1" applyFont="1" applyFill="1" applyBorder="1" applyAlignment="1" applyProtection="1">
      <alignment horizontal="right"/>
    </xf>
    <xf numFmtId="164" fontId="2" fillId="0" borderId="0" xfId="10" applyNumberFormat="1" applyFont="1" applyFill="1" applyBorder="1" applyAlignment="1" applyProtection="1">
      <alignment horizontal="right"/>
    </xf>
    <xf numFmtId="164" fontId="2" fillId="0" borderId="0" xfId="11" applyNumberFormat="1" applyFont="1" applyFill="1" applyBorder="1" applyAlignment="1" applyProtection="1">
      <alignment horizontal="right"/>
    </xf>
    <xf numFmtId="164" fontId="2" fillId="0" borderId="0" xfId="12" applyNumberFormat="1" applyFont="1" applyFill="1" applyBorder="1" applyAlignment="1" applyProtection="1">
      <alignment horizontal="right"/>
    </xf>
    <xf numFmtId="164" fontId="2" fillId="0" borderId="0" xfId="13" applyNumberFormat="1" applyFont="1" applyFill="1" applyBorder="1" applyAlignment="1" applyProtection="1">
      <alignment horizontal="right"/>
    </xf>
    <xf numFmtId="164" fontId="2" fillId="0" borderId="0" xfId="14" applyNumberFormat="1" applyFont="1" applyFill="1" applyBorder="1" applyAlignment="1" applyProtection="1">
      <alignment horizontal="right"/>
    </xf>
    <xf numFmtId="164" fontId="2" fillId="0" borderId="0" xfId="0" applyNumberFormat="1" applyFont="1" applyFill="1" applyBorder="1" applyAlignment="1" applyProtection="1">
      <alignment horizontal="right"/>
    </xf>
    <xf numFmtId="0" fontId="0" fillId="0" borderId="0" xfId="0" applyAlignment="1">
      <alignment wrapText="1"/>
    </xf>
    <xf numFmtId="164" fontId="0" fillId="0" borderId="0" xfId="0" applyNumberFormat="1"/>
    <xf numFmtId="164" fontId="6" fillId="0" borderId="0" xfId="14" applyNumberFormat="1" applyFont="1" applyFill="1" applyBorder="1" applyAlignment="1" applyProtection="1">
      <alignment horizontal="right"/>
    </xf>
    <xf numFmtId="0" fontId="0" fillId="0" borderId="0" xfId="0" applyNumberFormat="1"/>
    <xf numFmtId="0" fontId="4" fillId="0" borderId="0" xfId="0" applyFont="1" applyFill="1" applyBorder="1" applyAlignment="1">
      <alignment horizontal="center"/>
    </xf>
    <xf numFmtId="164" fontId="2" fillId="0" borderId="1" xfId="14" applyNumberFormat="1" applyFont="1" applyFill="1" applyBorder="1" applyAlignment="1" applyProtection="1">
      <alignment horizontal="right"/>
    </xf>
    <xf numFmtId="0" fontId="4" fillId="0" borderId="1" xfId="0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9" fontId="0" fillId="0" borderId="0" xfId="15" applyFont="1"/>
    <xf numFmtId="9" fontId="0" fillId="0" borderId="0" xfId="0" applyNumberFormat="1"/>
    <xf numFmtId="164" fontId="0" fillId="3" borderId="0" xfId="0" applyNumberFormat="1" applyFill="1"/>
    <xf numFmtId="0" fontId="0" fillId="0" borderId="0" xfId="0" applyBorder="1"/>
    <xf numFmtId="164" fontId="0" fillId="0" borderId="0" xfId="0" applyNumberFormat="1" applyBorder="1"/>
    <xf numFmtId="0" fontId="0" fillId="0" borderId="5" xfId="0" applyBorder="1" applyAlignment="1">
      <alignment horizontal="center" wrapText="1"/>
    </xf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2" borderId="8" xfId="0" applyFill="1" applyBorder="1"/>
    <xf numFmtId="0" fontId="0" fillId="0" borderId="8" xfId="0" applyBorder="1"/>
    <xf numFmtId="0" fontId="0" fillId="0" borderId="9" xfId="0" applyBorder="1"/>
    <xf numFmtId="0" fontId="8" fillId="0" borderId="7" xfId="0" applyFont="1" applyBorder="1" applyAlignment="1">
      <alignment horizontal="center"/>
    </xf>
    <xf numFmtId="0" fontId="0" fillId="2" borderId="9" xfId="0" applyFill="1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167" fontId="0" fillId="0" borderId="0" xfId="15" applyNumberFormat="1" applyFont="1"/>
  </cellXfs>
  <cellStyles count="16">
    <cellStyle name="Normalny" xfId="0" builtinId="0"/>
    <cellStyle name="Normalny 10" xfId="7" xr:uid="{334BBECA-A07D-48C6-850C-BB384BE22811}"/>
    <cellStyle name="Normalny 11" xfId="8" xr:uid="{C6908CB5-E4C2-4439-9AD5-258C85835A7F}"/>
    <cellStyle name="Normalny 12" xfId="9" xr:uid="{81187465-B4B6-4A03-9C7A-D285E2B66469}"/>
    <cellStyle name="Normalny 13" xfId="10" xr:uid="{D48D2A12-5998-475C-A53F-4B1B273318C0}"/>
    <cellStyle name="Normalny 14" xfId="11" xr:uid="{BDAD6F67-E81C-4F89-A244-7ECB37816789}"/>
    <cellStyle name="Normalny 15" xfId="12" xr:uid="{28E1D7EA-A82A-4AE1-AE12-0EECC8744D1E}"/>
    <cellStyle name="Normalny 16" xfId="13" xr:uid="{91D6E11D-8B61-498D-A39A-103BECDE90ED}"/>
    <cellStyle name="Normalny 17" xfId="14" xr:uid="{7CB7AE6C-AA1C-45FD-8584-2F165F14FFF7}"/>
    <cellStyle name="Normalny 2" xfId="1" xr:uid="{B8C6F2EF-1D60-44DB-96B9-6AD842CA09B9}"/>
    <cellStyle name="Normalny 4" xfId="2" xr:uid="{7E1ABA42-A00F-4474-AB01-AE8C27621627}"/>
    <cellStyle name="Normalny 6" xfId="3" xr:uid="{54EAA7D5-DFC2-4BD9-B2CA-89C81A298368}"/>
    <cellStyle name="Normalny 7" xfId="4" xr:uid="{D80F71C4-8B50-41B5-89E7-202DF45F37A0}"/>
    <cellStyle name="Normalny 8" xfId="5" xr:uid="{4E2B8693-FFCD-4639-B4FE-7BF01C99E1EB}"/>
    <cellStyle name="Normalny 9" xfId="6" xr:uid="{BCFD51E3-FB49-491E-9528-6C315EEB01A3}"/>
    <cellStyle name="Procentowy" xfId="15" builtinId="5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542925</xdr:colOff>
          <xdr:row>0</xdr:row>
          <xdr:rowOff>628650</xdr:rowOff>
        </xdr:from>
        <xdr:to>
          <xdr:col>26</xdr:col>
          <xdr:colOff>504825</xdr:colOff>
          <xdr:row>1</xdr:row>
          <xdr:rowOff>533400</xdr:rowOff>
        </xdr:to>
        <xdr:sp macro="" textlink="">
          <xdr:nvSpPr>
            <xdr:cNvPr id="5121" name="Object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1</xdr:row>
          <xdr:rowOff>800100</xdr:rowOff>
        </xdr:from>
        <xdr:to>
          <xdr:col>27</xdr:col>
          <xdr:colOff>295275</xdr:colOff>
          <xdr:row>3</xdr:row>
          <xdr:rowOff>171450</xdr:rowOff>
        </xdr:to>
        <xdr:sp macro="" textlink="">
          <xdr:nvSpPr>
            <xdr:cNvPr id="5122" name="Object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228600</xdr:colOff>
          <xdr:row>4</xdr:row>
          <xdr:rowOff>171450</xdr:rowOff>
        </xdr:from>
        <xdr:to>
          <xdr:col>27</xdr:col>
          <xdr:colOff>190500</xdr:colOff>
          <xdr:row>16</xdr:row>
          <xdr:rowOff>57150</xdr:rowOff>
        </xdr:to>
        <xdr:sp macro="" textlink="">
          <xdr:nvSpPr>
            <xdr:cNvPr id="5123" name="Object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295275</xdr:colOff>
          <xdr:row>16</xdr:row>
          <xdr:rowOff>161925</xdr:rowOff>
        </xdr:from>
        <xdr:to>
          <xdr:col>27</xdr:col>
          <xdr:colOff>257175</xdr:colOff>
          <xdr:row>22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542925</xdr:colOff>
          <xdr:row>0</xdr:row>
          <xdr:rowOff>628650</xdr:rowOff>
        </xdr:from>
        <xdr:to>
          <xdr:col>26</xdr:col>
          <xdr:colOff>504824</xdr:colOff>
          <xdr:row>1</xdr:row>
          <xdr:rowOff>533400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1</xdr:row>
          <xdr:rowOff>800100</xdr:rowOff>
        </xdr:from>
        <xdr:to>
          <xdr:col>27</xdr:col>
          <xdr:colOff>295275</xdr:colOff>
          <xdr:row>3</xdr:row>
          <xdr:rowOff>171450</xdr:rowOff>
        </xdr:to>
        <xdr:sp macro="" textlink="">
          <xdr:nvSpPr>
            <xdr:cNvPr id="4098" name="Object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228600</xdr:colOff>
          <xdr:row>4</xdr:row>
          <xdr:rowOff>171450</xdr:rowOff>
        </xdr:from>
        <xdr:to>
          <xdr:col>27</xdr:col>
          <xdr:colOff>190500</xdr:colOff>
          <xdr:row>16</xdr:row>
          <xdr:rowOff>47625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295275</xdr:colOff>
          <xdr:row>16</xdr:row>
          <xdr:rowOff>161925</xdr:rowOff>
        </xdr:from>
        <xdr:to>
          <xdr:col>27</xdr:col>
          <xdr:colOff>257175</xdr:colOff>
          <xdr:row>22</xdr:row>
          <xdr:rowOff>104775</xdr:rowOff>
        </xdr:to>
        <xdr:sp macro="" textlink="">
          <xdr:nvSpPr>
            <xdr:cNvPr id="4100" name="Object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oleObject" Target="../embeddings/oleObject2.bin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oleObject" Target="../embeddings/oleObject4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oleObject" Target="../embeddings/oleObject5.bin"/><Relationship Id="rId7" Type="http://schemas.openxmlformats.org/officeDocument/2006/relationships/oleObject" Target="../embeddings/oleObject7.bin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oleObject" Target="../embeddings/oleObject6.bin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oleObject" Target="../embeddings/oleObject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95683-DE58-4A75-8730-0B231353C6BE}">
  <sheetPr codeName="Arkusz4"/>
  <dimension ref="A1:B165"/>
  <sheetViews>
    <sheetView workbookViewId="0"/>
  </sheetViews>
  <sheetFormatPr defaultRowHeight="15"/>
  <sheetData>
    <row r="1" spans="1:1">
      <c r="A1" s="8">
        <v>14.8</v>
      </c>
    </row>
    <row r="2" spans="1:1">
      <c r="A2" s="7">
        <v>13.8</v>
      </c>
    </row>
    <row r="3" spans="1:1">
      <c r="A3" s="7">
        <v>13.8</v>
      </c>
    </row>
    <row r="4" spans="1:1">
      <c r="A4" s="7">
        <v>12.4</v>
      </c>
    </row>
    <row r="5" spans="1:1">
      <c r="A5" s="8">
        <v>17.2</v>
      </c>
    </row>
    <row r="6" spans="1:1">
      <c r="A6" s="8">
        <v>17.8</v>
      </c>
    </row>
    <row r="7" spans="1:1">
      <c r="A7" s="8">
        <v>19.2</v>
      </c>
    </row>
    <row r="8" spans="1:1">
      <c r="A8" s="7">
        <v>20.6</v>
      </c>
    </row>
    <row r="9" spans="1:1">
      <c r="A9" s="8">
        <v>15.6</v>
      </c>
    </row>
    <row r="10" spans="1:1">
      <c r="A10" s="8">
        <v>10.9</v>
      </c>
    </row>
    <row r="11" spans="1:1">
      <c r="A11" s="8">
        <v>15.4</v>
      </c>
    </row>
    <row r="12" spans="1:1">
      <c r="A12" s="8">
        <v>15.9</v>
      </c>
    </row>
    <row r="13" spans="1:1">
      <c r="A13" s="8">
        <v>15.5</v>
      </c>
    </row>
    <row r="14" spans="1:1">
      <c r="A14" s="8">
        <v>21.6</v>
      </c>
    </row>
    <row r="15" spans="1:1">
      <c r="A15" s="8">
        <v>15.8</v>
      </c>
    </row>
    <row r="16" spans="1:1">
      <c r="A16" s="8">
        <v>17.5</v>
      </c>
    </row>
    <row r="17" spans="1:1">
      <c r="A17" s="8">
        <v>17.5</v>
      </c>
    </row>
    <row r="18" spans="1:1">
      <c r="A18" s="8">
        <v>12.3</v>
      </c>
    </row>
    <row r="19" spans="1:1">
      <c r="A19" s="8">
        <v>9.1999999999999993</v>
      </c>
    </row>
    <row r="20" spans="1:1">
      <c r="A20" s="8">
        <v>16.7</v>
      </c>
    </row>
    <row r="21" spans="1:1">
      <c r="A21" s="8">
        <v>13.1</v>
      </c>
    </row>
    <row r="22" spans="1:1">
      <c r="A22" s="8">
        <v>10.8</v>
      </c>
    </row>
    <row r="23" spans="1:1">
      <c r="A23" s="8">
        <v>16.399999999999999</v>
      </c>
    </row>
    <row r="24" spans="1:1">
      <c r="A24" s="8">
        <v>13</v>
      </c>
    </row>
    <row r="25" spans="1:1">
      <c r="A25" s="8">
        <v>11</v>
      </c>
    </row>
    <row r="26" spans="1:1">
      <c r="A26" s="8">
        <v>12</v>
      </c>
    </row>
    <row r="27" spans="1:1">
      <c r="A27" s="8">
        <v>17.5</v>
      </c>
    </row>
    <row r="28" spans="1:1">
      <c r="A28" s="8">
        <v>17.2</v>
      </c>
    </row>
    <row r="29" spans="1:1">
      <c r="A29" s="9">
        <v>22.1</v>
      </c>
    </row>
    <row r="30" spans="1:1">
      <c r="A30" s="10">
        <v>22.5</v>
      </c>
    </row>
    <row r="31" spans="1:1">
      <c r="A31" s="11">
        <v>17.899999999999999</v>
      </c>
    </row>
    <row r="32" spans="1:1">
      <c r="A32" s="12">
        <v>14.7</v>
      </c>
    </row>
    <row r="33" spans="1:2">
      <c r="A33" s="13">
        <v>15.8</v>
      </c>
    </row>
    <row r="34" spans="1:2">
      <c r="A34" s="14">
        <v>14.1</v>
      </c>
    </row>
    <row r="35" spans="1:2">
      <c r="A35" s="15">
        <v>14.8</v>
      </c>
    </row>
    <row r="36" spans="1:2">
      <c r="A36" s="16">
        <v>12.8</v>
      </c>
    </row>
    <row r="37" spans="1:2">
      <c r="A37" s="17">
        <v>12.4</v>
      </c>
    </row>
    <row r="38" spans="1:2">
      <c r="A38" s="18">
        <v>13.6</v>
      </c>
    </row>
    <row r="39" spans="1:2">
      <c r="A39" s="19">
        <v>11.8</v>
      </c>
    </row>
    <row r="40" spans="1:2">
      <c r="A40" s="20">
        <v>15.7</v>
      </c>
    </row>
    <row r="41" spans="1:2">
      <c r="A41" s="21">
        <v>20</v>
      </c>
    </row>
    <row r="42" spans="1:2">
      <c r="A42" s="21">
        <v>15</v>
      </c>
    </row>
    <row r="43" spans="1:2" ht="15.75" thickBot="1">
      <c r="A43" s="28">
        <v>11.5</v>
      </c>
    </row>
    <row r="44" spans="1:2" ht="15.75" thickTop="1">
      <c r="A44" s="25">
        <v>17.399999999999999</v>
      </c>
      <c r="B44" s="27" t="s">
        <v>45</v>
      </c>
    </row>
    <row r="45" spans="1:2">
      <c r="A45" s="21">
        <v>15.6</v>
      </c>
      <c r="B45" s="4" t="s">
        <v>46</v>
      </c>
    </row>
    <row r="46" spans="1:2">
      <c r="A46" s="21">
        <v>15</v>
      </c>
      <c r="B46" s="4" t="s">
        <v>47</v>
      </c>
    </row>
    <row r="47" spans="1:2">
      <c r="A47" s="21">
        <v>14.9</v>
      </c>
      <c r="B47" s="4" t="s">
        <v>48</v>
      </c>
    </row>
    <row r="48" spans="1:2">
      <c r="A48" s="21">
        <v>11.6</v>
      </c>
      <c r="B48" s="4" t="s">
        <v>49</v>
      </c>
    </row>
    <row r="49" spans="1:2">
      <c r="A49" s="21">
        <v>13.9</v>
      </c>
      <c r="B49" s="4" t="s">
        <v>50</v>
      </c>
    </row>
    <row r="50" spans="1:2">
      <c r="A50" s="21">
        <v>12.7</v>
      </c>
      <c r="B50" s="4" t="s">
        <v>51</v>
      </c>
    </row>
    <row r="51" spans="1:2">
      <c r="A51" s="21">
        <v>15.5</v>
      </c>
      <c r="B51" s="4" t="s">
        <v>52</v>
      </c>
    </row>
    <row r="52" spans="1:2">
      <c r="A52" s="21">
        <v>15.6</v>
      </c>
      <c r="B52" s="4" t="s">
        <v>53</v>
      </c>
    </row>
    <row r="53" spans="1:2">
      <c r="A53" s="22">
        <v>14.3</v>
      </c>
      <c r="B53" s="4" t="s">
        <v>54</v>
      </c>
    </row>
    <row r="54" spans="1:2">
      <c r="A54" s="22">
        <v>18</v>
      </c>
      <c r="B54" s="4" t="s">
        <v>55</v>
      </c>
    </row>
    <row r="55" spans="1:2">
      <c r="A55" s="22">
        <v>15.6</v>
      </c>
      <c r="B55" s="4" t="s">
        <v>56</v>
      </c>
    </row>
    <row r="56" spans="1:2">
      <c r="A56" s="5"/>
    </row>
    <row r="57" spans="1:2">
      <c r="A57" s="5"/>
    </row>
    <row r="58" spans="1:2">
      <c r="A58" s="5"/>
    </row>
    <row r="59" spans="1:2">
      <c r="A59" s="5"/>
    </row>
    <row r="60" spans="1:2">
      <c r="A60" s="5"/>
    </row>
    <row r="61" spans="1:2">
      <c r="A61" s="5"/>
    </row>
    <row r="62" spans="1:2">
      <c r="A62" s="5"/>
    </row>
    <row r="63" spans="1:2">
      <c r="A63" s="5"/>
    </row>
    <row r="64" spans="1:2">
      <c r="A64" s="5"/>
    </row>
    <row r="65" spans="1:1">
      <c r="A65" s="5"/>
    </row>
    <row r="66" spans="1:1">
      <c r="A66" s="5"/>
    </row>
    <row r="67" spans="1:1">
      <c r="A67" s="5"/>
    </row>
    <row r="68" spans="1:1">
      <c r="A68" s="5"/>
    </row>
    <row r="69" spans="1:1">
      <c r="A69" s="5"/>
    </row>
    <row r="70" spans="1:1">
      <c r="A70" s="5"/>
    </row>
    <row r="71" spans="1:1">
      <c r="A71" s="5"/>
    </row>
    <row r="72" spans="1:1">
      <c r="A72" s="5"/>
    </row>
    <row r="73" spans="1:1">
      <c r="A73" s="5"/>
    </row>
    <row r="74" spans="1:1">
      <c r="A74" s="5"/>
    </row>
    <row r="75" spans="1:1">
      <c r="A75" s="5"/>
    </row>
    <row r="76" spans="1:1">
      <c r="A76" s="5"/>
    </row>
    <row r="77" spans="1:1">
      <c r="A77" s="5"/>
    </row>
    <row r="78" spans="1:1">
      <c r="A78" s="5"/>
    </row>
    <row r="79" spans="1:1">
      <c r="A79" s="5"/>
    </row>
    <row r="80" spans="1:1">
      <c r="A80" s="5"/>
    </row>
    <row r="81" spans="1:1">
      <c r="A81" s="5"/>
    </row>
    <row r="82" spans="1:1">
      <c r="A82" s="5"/>
    </row>
    <row r="83" spans="1:1">
      <c r="A83" s="5"/>
    </row>
    <row r="84" spans="1:1">
      <c r="A84" s="5"/>
    </row>
    <row r="85" spans="1:1">
      <c r="A85" s="5"/>
    </row>
    <row r="86" spans="1:1">
      <c r="A86" s="5"/>
    </row>
    <row r="87" spans="1:1">
      <c r="A87" s="5"/>
    </row>
    <row r="88" spans="1:1">
      <c r="A88" s="5"/>
    </row>
    <row r="89" spans="1:1">
      <c r="A89" s="5"/>
    </row>
    <row r="90" spans="1:1">
      <c r="A90" s="5"/>
    </row>
    <row r="91" spans="1:1">
      <c r="A91" s="5"/>
    </row>
    <row r="92" spans="1:1">
      <c r="A92" s="5"/>
    </row>
    <row r="93" spans="1:1">
      <c r="A93" s="5"/>
    </row>
    <row r="94" spans="1:1">
      <c r="A94" s="5"/>
    </row>
    <row r="95" spans="1:1">
      <c r="A95" s="5"/>
    </row>
    <row r="96" spans="1:1">
      <c r="A96" s="5"/>
    </row>
    <row r="97" spans="1:1">
      <c r="A97" s="5"/>
    </row>
    <row r="98" spans="1:1">
      <c r="A98" s="5"/>
    </row>
    <row r="99" spans="1:1">
      <c r="A99" s="5"/>
    </row>
    <row r="100" spans="1:1">
      <c r="A100" s="5"/>
    </row>
    <row r="101" spans="1:1">
      <c r="A101" s="5"/>
    </row>
    <row r="102" spans="1:1">
      <c r="A102" s="5"/>
    </row>
    <row r="103" spans="1:1">
      <c r="A103" s="5"/>
    </row>
    <row r="104" spans="1:1">
      <c r="A104" s="5"/>
    </row>
    <row r="105" spans="1:1">
      <c r="A105" s="5"/>
    </row>
    <row r="106" spans="1:1">
      <c r="A106" s="5"/>
    </row>
    <row r="107" spans="1:1">
      <c r="A107" s="5"/>
    </row>
    <row r="108" spans="1:1">
      <c r="A108" s="5"/>
    </row>
    <row r="109" spans="1:1">
      <c r="A109" s="5"/>
    </row>
    <row r="110" spans="1:1">
      <c r="A110" s="6"/>
    </row>
    <row r="111" spans="1:1">
      <c r="A111" s="6"/>
    </row>
    <row r="112" spans="1:1">
      <c r="A112" s="6"/>
    </row>
    <row r="113" spans="1:1">
      <c r="A113" s="6"/>
    </row>
    <row r="114" spans="1:1">
      <c r="A114" s="6"/>
    </row>
    <row r="115" spans="1:1">
      <c r="A115" s="6"/>
    </row>
    <row r="116" spans="1:1">
      <c r="A116" s="6"/>
    </row>
    <row r="117" spans="1:1">
      <c r="A117" s="6"/>
    </row>
    <row r="118" spans="1:1">
      <c r="A118" s="6"/>
    </row>
    <row r="119" spans="1:1">
      <c r="A119" s="6"/>
    </row>
    <row r="120" spans="1:1">
      <c r="A120" s="6"/>
    </row>
    <row r="121" spans="1:1">
      <c r="A121" s="6"/>
    </row>
    <row r="122" spans="1:1">
      <c r="A122" s="6"/>
    </row>
    <row r="123" spans="1:1">
      <c r="A123" s="6"/>
    </row>
    <row r="124" spans="1:1">
      <c r="A124" s="6"/>
    </row>
    <row r="125" spans="1:1">
      <c r="A125" s="6"/>
    </row>
    <row r="126" spans="1:1">
      <c r="A126" s="6"/>
    </row>
    <row r="127" spans="1:1">
      <c r="A127" s="6"/>
    </row>
    <row r="128" spans="1:1">
      <c r="A128" s="6"/>
    </row>
    <row r="129" spans="1:1">
      <c r="A129" s="6"/>
    </row>
    <row r="130" spans="1:1">
      <c r="A130" s="6"/>
    </row>
    <row r="131" spans="1:1">
      <c r="A131" s="6"/>
    </row>
    <row r="132" spans="1:1">
      <c r="A132" s="6"/>
    </row>
    <row r="133" spans="1:1">
      <c r="A133" s="6"/>
    </row>
    <row r="134" spans="1:1">
      <c r="A134" s="6"/>
    </row>
    <row r="135" spans="1:1">
      <c r="A135" s="6"/>
    </row>
    <row r="136" spans="1:1">
      <c r="A136" s="6"/>
    </row>
    <row r="137" spans="1:1">
      <c r="A137" s="6"/>
    </row>
    <row r="138" spans="1:1">
      <c r="A138" s="6"/>
    </row>
    <row r="139" spans="1:1">
      <c r="A139" s="6"/>
    </row>
    <row r="140" spans="1:1">
      <c r="A140" s="6"/>
    </row>
    <row r="141" spans="1:1">
      <c r="A141" s="6"/>
    </row>
    <row r="142" spans="1:1">
      <c r="A142" s="6"/>
    </row>
    <row r="143" spans="1:1">
      <c r="A143" s="6"/>
    </row>
    <row r="144" spans="1:1">
      <c r="A144" s="6"/>
    </row>
    <row r="145" spans="1:1">
      <c r="A145" s="6"/>
    </row>
    <row r="146" spans="1:1">
      <c r="A146" s="6"/>
    </row>
    <row r="147" spans="1:1">
      <c r="A147" s="6"/>
    </row>
    <row r="148" spans="1:1">
      <c r="A148" s="6"/>
    </row>
    <row r="149" spans="1:1">
      <c r="A149" s="6"/>
    </row>
    <row r="150" spans="1:1">
      <c r="A150" s="6"/>
    </row>
    <row r="151" spans="1:1">
      <c r="A151" s="6"/>
    </row>
    <row r="152" spans="1:1">
      <c r="A152" s="6"/>
    </row>
    <row r="153" spans="1:1">
      <c r="A153" s="6"/>
    </row>
    <row r="154" spans="1:1">
      <c r="A154" s="6"/>
    </row>
    <row r="155" spans="1:1">
      <c r="A155" s="6"/>
    </row>
    <row r="156" spans="1:1">
      <c r="A156" s="6"/>
    </row>
    <row r="157" spans="1:1">
      <c r="A157" s="6"/>
    </row>
    <row r="158" spans="1:1">
      <c r="A158" s="6"/>
    </row>
    <row r="159" spans="1:1">
      <c r="A159" s="7"/>
    </row>
    <row r="160" spans="1:1">
      <c r="A160" s="7"/>
    </row>
    <row r="161" spans="1:1">
      <c r="A161" s="7"/>
    </row>
    <row r="162" spans="1:1">
      <c r="A162" s="7"/>
    </row>
    <row r="163" spans="1:1">
      <c r="A163" s="8"/>
    </row>
    <row r="164" spans="1:1">
      <c r="A164" s="7"/>
    </row>
    <row r="165" spans="1:1">
      <c r="A165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A95C5-4D11-4626-B6FB-9476EAC5D9E5}">
  <sheetPr codeName="Arkusz5"/>
  <dimension ref="A1:U221"/>
  <sheetViews>
    <sheetView zoomScale="55" zoomScaleNormal="55" workbookViewId="0">
      <selection activeCell="L29" sqref="L29"/>
    </sheetView>
  </sheetViews>
  <sheetFormatPr defaultRowHeight="15"/>
  <cols>
    <col min="1" max="1" width="13.28515625" customWidth="1"/>
    <col min="7" max="7" width="17.85546875" customWidth="1"/>
    <col min="8" max="8" width="12.28515625" bestFit="1" customWidth="1"/>
    <col min="9" max="9" width="14" bestFit="1" customWidth="1"/>
    <col min="11" max="12" width="9.85546875" bestFit="1" customWidth="1"/>
    <col min="15" max="15" width="10" bestFit="1" customWidth="1"/>
    <col min="16" max="16" width="13" bestFit="1" customWidth="1"/>
    <col min="18" max="18" width="12" bestFit="1" customWidth="1"/>
    <col min="19" max="19" width="16.28515625" bestFit="1" customWidth="1"/>
    <col min="20" max="20" width="19" bestFit="1" customWidth="1"/>
    <col min="21" max="21" width="12.140625" bestFit="1" customWidth="1"/>
  </cols>
  <sheetData>
    <row r="1" spans="1:21" ht="53.25" customHeight="1">
      <c r="A1" s="1" t="s">
        <v>0</v>
      </c>
    </row>
    <row r="2" spans="1:21" ht="78.75">
      <c r="A2" s="2" t="s">
        <v>1</v>
      </c>
      <c r="F2" t="s">
        <v>57</v>
      </c>
      <c r="G2" s="23" t="s">
        <v>70</v>
      </c>
      <c r="H2" t="s">
        <v>63</v>
      </c>
      <c r="I2" t="s">
        <v>64</v>
      </c>
      <c r="J2" t="s">
        <v>68</v>
      </c>
    </row>
    <row r="3" spans="1:21">
      <c r="A3" s="8">
        <f>'Dane empiryczne'!A1+30</f>
        <v>44.8</v>
      </c>
      <c r="B3" s="4" t="s">
        <v>2</v>
      </c>
      <c r="C3">
        <v>1</v>
      </c>
      <c r="D3" s="46" t="s">
        <v>60</v>
      </c>
      <c r="E3" s="46"/>
      <c r="F3">
        <f t="shared" ref="F3:F34" si="0">$D$5*C3+$E$5</f>
        <v>45.79545454545454</v>
      </c>
      <c r="G3" s="24">
        <f>A3/F3</f>
        <v>0.97826302729528547</v>
      </c>
      <c r="H3">
        <f>_xll.FOURIER(C3,$G$3:$G$45,TRUE,2,3,6,14)</f>
        <v>2.1227979335820827E-2</v>
      </c>
      <c r="I3">
        <f>H3+F3</f>
        <v>45.816682524790359</v>
      </c>
      <c r="N3" t="s">
        <v>66</v>
      </c>
      <c r="O3" t="s">
        <v>62</v>
      </c>
      <c r="P3" t="s">
        <v>58</v>
      </c>
      <c r="Q3" t="s">
        <v>59</v>
      </c>
      <c r="R3" t="s">
        <v>65</v>
      </c>
      <c r="S3" t="s">
        <v>67</v>
      </c>
      <c r="T3" t="s">
        <v>69</v>
      </c>
    </row>
    <row r="4" spans="1:21">
      <c r="A4" s="8">
        <f>'Dane empiryczne'!A2+30</f>
        <v>43.8</v>
      </c>
      <c r="B4" s="4" t="s">
        <v>3</v>
      </c>
      <c r="C4">
        <v>2</v>
      </c>
      <c r="D4" t="s">
        <v>58</v>
      </c>
      <c r="E4" t="s">
        <v>59</v>
      </c>
      <c r="F4">
        <f t="shared" si="0"/>
        <v>45.773301117487158</v>
      </c>
      <c r="G4" s="24">
        <f t="shared" ref="G4:G45" si="1">A4/F4</f>
        <v>0.95688969182226435</v>
      </c>
      <c r="H4">
        <f t="shared" ref="H4:H57" si="2">_xll.FOURIER(C4,$G$3:$G$45,TRUE,2,3,6,14)</f>
        <v>2.2514959513266715E-2</v>
      </c>
      <c r="I4">
        <f t="shared" ref="I4:I57" si="3">H4+F4</f>
        <v>45.795816077000424</v>
      </c>
      <c r="N4">
        <f>O4/((COUNT($G$3:$G$45)/2)-1)</f>
        <v>0</v>
      </c>
      <c r="O4">
        <v>0</v>
      </c>
      <c r="P4">
        <f t="shared" ref="P4:P22" si="4">a(O4,$G$3:$G$44)</f>
        <v>1.0017856333210875</v>
      </c>
      <c r="Q4">
        <f>b(O4,$G$3:$G$44)</f>
        <v>0</v>
      </c>
      <c r="R4">
        <f>(P4^2+Q4^2)</f>
        <v>1.0035744551285324</v>
      </c>
      <c r="S4" s="26"/>
      <c r="T4" s="32"/>
      <c r="U4" s="33"/>
    </row>
    <row r="5" spans="1:21">
      <c r="A5" s="8">
        <f>'Dane empiryczne'!A3+30</f>
        <v>43.8</v>
      </c>
      <c r="B5" s="4" t="s">
        <v>4</v>
      </c>
      <c r="C5">
        <v>3</v>
      </c>
      <c r="D5">
        <f>SLOPE(A3:A45,C3:C45)</f>
        <v>-2.2153427967381432E-2</v>
      </c>
      <c r="E5">
        <f>INTERCEPT(A3:A45,C3:C45)</f>
        <v>45.817607973421921</v>
      </c>
      <c r="F5">
        <f t="shared" si="0"/>
        <v>45.751147689519776</v>
      </c>
      <c r="G5" s="24">
        <f t="shared" si="1"/>
        <v>0.9573530329171015</v>
      </c>
      <c r="H5">
        <f t="shared" si="2"/>
        <v>-5.5215312585904418E-2</v>
      </c>
      <c r="I5">
        <f t="shared" si="3"/>
        <v>45.695932376933868</v>
      </c>
      <c r="N5">
        <f t="shared" ref="N5:N25" si="5">O5/((COUNT($G$3:$G$45)/2)-1)</f>
        <v>4.878048780487805E-2</v>
      </c>
      <c r="O5">
        <v>1</v>
      </c>
      <c r="P5">
        <f t="shared" si="4"/>
        <v>-1.154725879076595E-3</v>
      </c>
      <c r="Q5">
        <f t="shared" ref="Q5:Q25" si="6">b(O5,$G$3:$G$44)</f>
        <v>4.549692947675715E-3</v>
      </c>
      <c r="R5">
        <f t="shared" ref="R5:R25" si="7">(P5^2+Q5^2)</f>
        <v>2.2033097773939353E-5</v>
      </c>
      <c r="S5" s="26" t="str">
        <f>IF(R5&gt;AVERAGE($R$5:$R$25),O5 &amp; ";","")</f>
        <v/>
      </c>
      <c r="T5" s="32">
        <f>R5/(2*_xlfn.VAR.P($G$3:$G$44))</f>
        <v>2.3056840307041026E-3</v>
      </c>
    </row>
    <row r="6" spans="1:21">
      <c r="A6" s="8">
        <f>'Dane empiryczne'!A4+30</f>
        <v>42.4</v>
      </c>
      <c r="B6" s="4" t="s">
        <v>5</v>
      </c>
      <c r="C6">
        <v>4</v>
      </c>
      <c r="F6">
        <f t="shared" si="0"/>
        <v>45.728994261552394</v>
      </c>
      <c r="G6" s="24">
        <f t="shared" si="1"/>
        <v>0.92720167335166348</v>
      </c>
      <c r="H6">
        <f t="shared" si="2"/>
        <v>-3.6882523142371781E-2</v>
      </c>
      <c r="I6">
        <f t="shared" si="3"/>
        <v>45.69211173841002</v>
      </c>
      <c r="N6">
        <f t="shared" si="5"/>
        <v>9.7560975609756101E-2</v>
      </c>
      <c r="O6">
        <v>2</v>
      </c>
      <c r="P6">
        <f t="shared" si="4"/>
        <v>9.4383101994777816E-3</v>
      </c>
      <c r="Q6">
        <f t="shared" si="6"/>
        <v>-3.6773819442522448E-2</v>
      </c>
      <c r="R6">
        <f t="shared" si="7"/>
        <v>1.4413954958128084E-3</v>
      </c>
      <c r="S6" s="26" t="str">
        <f t="shared" ref="S6:S25" si="8">IF(R6&gt;AVERAGE($R$5:$R$25),O6 &amp; ";","")</f>
        <v>2;</v>
      </c>
      <c r="T6" s="32">
        <f t="shared" ref="T6:T25" si="9">R6/(2*_xlfn.VAR.P($G$3:$G$44))</f>
        <v>0.15083682788152103</v>
      </c>
      <c r="U6" s="33"/>
    </row>
    <row r="7" spans="1:21">
      <c r="A7" s="8">
        <f>'Dane empiryczne'!A5+30</f>
        <v>47.2</v>
      </c>
      <c r="B7" s="4" t="s">
        <v>6</v>
      </c>
      <c r="C7">
        <v>5</v>
      </c>
      <c r="F7">
        <f t="shared" si="0"/>
        <v>45.706840833585012</v>
      </c>
      <c r="G7" s="24">
        <f t="shared" si="1"/>
        <v>1.0326681769989632</v>
      </c>
      <c r="H7">
        <f t="shared" si="2"/>
        <v>1.8299818021436983E-2</v>
      </c>
      <c r="I7">
        <f t="shared" si="3"/>
        <v>45.725140651606452</v>
      </c>
      <c r="N7">
        <f t="shared" si="5"/>
        <v>0.14634146341463414</v>
      </c>
      <c r="O7">
        <v>3</v>
      </c>
      <c r="P7">
        <f t="shared" si="4"/>
        <v>1.964065094974481E-2</v>
      </c>
      <c r="Q7">
        <f t="shared" si="6"/>
        <v>2.9450373395038431E-2</v>
      </c>
      <c r="R7">
        <f t="shared" si="7"/>
        <v>1.2530796628368991E-3</v>
      </c>
      <c r="S7" s="26" t="str">
        <f t="shared" si="8"/>
        <v>3;</v>
      </c>
      <c r="T7" s="32">
        <f t="shared" si="9"/>
        <v>0.13113025673677439</v>
      </c>
    </row>
    <row r="8" spans="1:21">
      <c r="A8" s="8">
        <f>'Dane empiryczne'!A6+30</f>
        <v>47.8</v>
      </c>
      <c r="B8" s="4" t="s">
        <v>7</v>
      </c>
      <c r="C8">
        <v>6</v>
      </c>
      <c r="F8">
        <f t="shared" si="0"/>
        <v>45.68468740561763</v>
      </c>
      <c r="G8" s="24">
        <f t="shared" si="1"/>
        <v>1.0463024421202947</v>
      </c>
      <c r="H8">
        <f t="shared" si="2"/>
        <v>-5.5482917642032236E-3</v>
      </c>
      <c r="I8">
        <f t="shared" si="3"/>
        <v>45.679139113853424</v>
      </c>
      <c r="N8">
        <f t="shared" si="5"/>
        <v>0.1951219512195122</v>
      </c>
      <c r="O8">
        <v>4</v>
      </c>
      <c r="P8">
        <f t="shared" si="4"/>
        <v>-2.7436728208446497E-2</v>
      </c>
      <c r="Q8">
        <f t="shared" si="6"/>
        <v>1.9852688996680598E-3</v>
      </c>
      <c r="R8">
        <f t="shared" si="7"/>
        <v>7.56715347388153E-4</v>
      </c>
      <c r="S8" s="26" t="str">
        <f t="shared" si="8"/>
        <v>4;</v>
      </c>
      <c r="T8" s="32">
        <f t="shared" si="9"/>
        <v>7.9187525520140439E-2</v>
      </c>
    </row>
    <row r="9" spans="1:21">
      <c r="A9" s="8">
        <f>'Dane empiryczne'!A7+30</f>
        <v>49.2</v>
      </c>
      <c r="B9" s="4" t="s">
        <v>8</v>
      </c>
      <c r="C9">
        <v>7</v>
      </c>
      <c r="F9">
        <f t="shared" si="0"/>
        <v>45.662533977650249</v>
      </c>
      <c r="G9" s="24">
        <f t="shared" si="1"/>
        <v>1.0774697703828962</v>
      </c>
      <c r="H9">
        <f t="shared" si="2"/>
        <v>2.4949291566006497E-2</v>
      </c>
      <c r="I9">
        <f t="shared" si="3"/>
        <v>45.687483269216258</v>
      </c>
      <c r="N9">
        <f t="shared" si="5"/>
        <v>0.24390243902439024</v>
      </c>
      <c r="O9">
        <v>5</v>
      </c>
      <c r="P9">
        <f t="shared" si="4"/>
        <v>-3.4975619911778597E-2</v>
      </c>
      <c r="Q9">
        <f t="shared" si="6"/>
        <v>-3.6919647629253738E-3</v>
      </c>
      <c r="R9">
        <f t="shared" si="7"/>
        <v>1.236924592023886E-3</v>
      </c>
      <c r="S9" s="26" t="str">
        <f t="shared" si="8"/>
        <v>5;</v>
      </c>
      <c r="T9" s="32">
        <f t="shared" si="9"/>
        <v>0.12943968697801284</v>
      </c>
    </row>
    <row r="10" spans="1:21">
      <c r="A10" s="8">
        <f>'Dane empiryczne'!A8+30</f>
        <v>50.6</v>
      </c>
      <c r="B10" s="4" t="s">
        <v>9</v>
      </c>
      <c r="C10">
        <v>8</v>
      </c>
      <c r="F10">
        <f t="shared" si="0"/>
        <v>45.640380549682867</v>
      </c>
      <c r="G10" s="24">
        <f t="shared" si="1"/>
        <v>1.1086673553240476</v>
      </c>
      <c r="H10">
        <f t="shared" si="2"/>
        <v>5.9960111677959095E-2</v>
      </c>
      <c r="I10">
        <f t="shared" si="3"/>
        <v>45.700340661360826</v>
      </c>
      <c r="N10">
        <f t="shared" si="5"/>
        <v>0.29268292682926828</v>
      </c>
      <c r="O10">
        <v>6</v>
      </c>
      <c r="P10">
        <f t="shared" si="4"/>
        <v>1.1976278213639776E-2</v>
      </c>
      <c r="Q10">
        <f t="shared" si="6"/>
        <v>3.7900453804298705E-2</v>
      </c>
      <c r="R10">
        <f t="shared" si="7"/>
        <v>1.579875638422283E-3</v>
      </c>
      <c r="S10" s="26" t="str">
        <f t="shared" si="8"/>
        <v>6;</v>
      </c>
      <c r="T10" s="32">
        <f t="shared" si="9"/>
        <v>0.16532827418926396</v>
      </c>
    </row>
    <row r="11" spans="1:21">
      <c r="A11" s="8">
        <f>'Dane empiryczne'!A9+30</f>
        <v>45.6</v>
      </c>
      <c r="B11" s="4" t="s">
        <v>10</v>
      </c>
      <c r="C11">
        <v>9</v>
      </c>
      <c r="F11">
        <f t="shared" si="0"/>
        <v>45.618227121715492</v>
      </c>
      <c r="G11" s="24">
        <f t="shared" si="1"/>
        <v>0.99960044212882582</v>
      </c>
      <c r="H11">
        <f t="shared" si="2"/>
        <v>-1.0945516495554402E-2</v>
      </c>
      <c r="I11">
        <f t="shared" si="3"/>
        <v>45.607281605219939</v>
      </c>
      <c r="N11">
        <f t="shared" si="5"/>
        <v>0.34146341463414637</v>
      </c>
      <c r="O11">
        <v>7</v>
      </c>
      <c r="P11">
        <f t="shared" si="4"/>
        <v>-9.2071161996366419E-3</v>
      </c>
      <c r="Q11">
        <f t="shared" si="6"/>
        <v>1.2902560518776711E-2</v>
      </c>
      <c r="R11">
        <f t="shared" si="7"/>
        <v>2.5124705665430702E-4</v>
      </c>
      <c r="S11" s="26" t="str">
        <f t="shared" si="8"/>
        <v/>
      </c>
      <c r="T11" s="32">
        <f t="shared" si="9"/>
        <v>2.6292096201489819E-2</v>
      </c>
    </row>
    <row r="12" spans="1:21">
      <c r="A12" s="8">
        <f>'Dane empiryczne'!A10+30</f>
        <v>40.9</v>
      </c>
      <c r="B12" s="4" t="s">
        <v>11</v>
      </c>
      <c r="C12">
        <v>10</v>
      </c>
      <c r="F12">
        <f t="shared" si="0"/>
        <v>45.59607369374811</v>
      </c>
      <c r="G12" s="24">
        <f t="shared" si="1"/>
        <v>0.89700705974619888</v>
      </c>
      <c r="H12">
        <f t="shared" si="2"/>
        <v>-2.1551042184071129E-2</v>
      </c>
      <c r="I12">
        <f t="shared" si="3"/>
        <v>45.574522651564038</v>
      </c>
      <c r="N12">
        <f t="shared" si="5"/>
        <v>0.3902439024390244</v>
      </c>
      <c r="O12">
        <v>8</v>
      </c>
      <c r="P12">
        <f t="shared" si="4"/>
        <v>-3.1986626597636184E-3</v>
      </c>
      <c r="Q12">
        <f t="shared" si="6"/>
        <v>-9.758891914732332E-3</v>
      </c>
      <c r="R12">
        <f t="shared" si="7"/>
        <v>1.0546741421439415E-4</v>
      </c>
      <c r="S12" s="26" t="str">
        <f t="shared" si="8"/>
        <v/>
      </c>
      <c r="T12" s="32">
        <f t="shared" si="9"/>
        <v>1.1036783624743371E-2</v>
      </c>
    </row>
    <row r="13" spans="1:21">
      <c r="A13" s="8">
        <f>'Dane empiryczne'!A11+30</f>
        <v>45.4</v>
      </c>
      <c r="B13" s="4" t="s">
        <v>12</v>
      </c>
      <c r="C13">
        <v>11</v>
      </c>
      <c r="F13">
        <f t="shared" si="0"/>
        <v>45.573920265780728</v>
      </c>
      <c r="G13" s="24">
        <f t="shared" si="1"/>
        <v>0.99618377649395862</v>
      </c>
      <c r="H13">
        <f t="shared" si="2"/>
        <v>2.831363804274431E-2</v>
      </c>
      <c r="I13">
        <f t="shared" si="3"/>
        <v>45.602233903823475</v>
      </c>
      <c r="N13">
        <f t="shared" si="5"/>
        <v>0.43902439024390244</v>
      </c>
      <c r="O13">
        <v>9</v>
      </c>
      <c r="P13">
        <f t="shared" si="4"/>
        <v>-3.3909934923647919E-3</v>
      </c>
      <c r="Q13">
        <f t="shared" si="6"/>
        <v>-6.5296431699124365E-3</v>
      </c>
      <c r="R13">
        <f t="shared" si="7"/>
        <v>5.4135076791644498E-5</v>
      </c>
      <c r="S13" s="26" t="str">
        <f t="shared" si="8"/>
        <v/>
      </c>
      <c r="T13" s="32">
        <f t="shared" si="9"/>
        <v>5.6650400837901975E-3</v>
      </c>
    </row>
    <row r="14" spans="1:21">
      <c r="A14" s="8">
        <f>'Dane empiryczne'!A12+30</f>
        <v>45.9</v>
      </c>
      <c r="B14" s="4" t="s">
        <v>13</v>
      </c>
      <c r="C14">
        <v>12</v>
      </c>
      <c r="F14">
        <f t="shared" si="0"/>
        <v>45.551766837813346</v>
      </c>
      <c r="G14" s="24">
        <f t="shared" si="1"/>
        <v>1.0076447783776759</v>
      </c>
      <c r="H14">
        <f t="shared" si="2"/>
        <v>8.5292270046495207E-3</v>
      </c>
      <c r="I14">
        <f t="shared" si="3"/>
        <v>45.560296064817997</v>
      </c>
      <c r="N14">
        <f t="shared" si="5"/>
        <v>0.48780487804878048</v>
      </c>
      <c r="O14">
        <v>10</v>
      </c>
      <c r="P14">
        <f t="shared" si="4"/>
        <v>-1.2789794081981507E-2</v>
      </c>
      <c r="Q14">
        <f t="shared" si="6"/>
        <v>7.5390919058379181E-3</v>
      </c>
      <c r="R14">
        <f t="shared" si="7"/>
        <v>2.2041673942416E-4</v>
      </c>
      <c r="S14" s="26" t="str">
        <f t="shared" si="8"/>
        <v/>
      </c>
      <c r="T14" s="32">
        <f t="shared" si="9"/>
        <v>2.3065814957316768E-2</v>
      </c>
    </row>
    <row r="15" spans="1:21">
      <c r="A15" s="8">
        <f>'Dane empiryczne'!A13+30</f>
        <v>45.5</v>
      </c>
      <c r="B15" s="4" t="s">
        <v>14</v>
      </c>
      <c r="C15">
        <v>13</v>
      </c>
      <c r="F15">
        <f t="shared" si="0"/>
        <v>45.529613409845965</v>
      </c>
      <c r="G15" s="24">
        <f t="shared" si="1"/>
        <v>0.99934957915018097</v>
      </c>
      <c r="H15">
        <f t="shared" si="2"/>
        <v>3.9907665733695911E-2</v>
      </c>
      <c r="I15">
        <f t="shared" si="3"/>
        <v>45.569521075579658</v>
      </c>
      <c r="N15">
        <f t="shared" si="5"/>
        <v>0.53658536585365857</v>
      </c>
      <c r="O15">
        <v>11</v>
      </c>
      <c r="P15">
        <f t="shared" si="4"/>
        <v>1.3365803614331557E-3</v>
      </c>
      <c r="Q15">
        <f t="shared" si="6"/>
        <v>3.4067344024339761E-3</v>
      </c>
      <c r="R15">
        <f t="shared" si="7"/>
        <v>1.3392286351295965E-5</v>
      </c>
      <c r="S15" s="26" t="str">
        <f t="shared" si="8"/>
        <v/>
      </c>
      <c r="T15" s="32">
        <f t="shared" si="9"/>
        <v>1.401454352520617E-3</v>
      </c>
    </row>
    <row r="16" spans="1:21">
      <c r="A16" s="8">
        <f>'Dane empiryczne'!A14+30</f>
        <v>51.6</v>
      </c>
      <c r="B16" s="4" t="s">
        <v>15</v>
      </c>
      <c r="C16">
        <v>14</v>
      </c>
      <c r="F16">
        <f t="shared" si="0"/>
        <v>45.507459981878583</v>
      </c>
      <c r="G16" s="24">
        <f t="shared" si="1"/>
        <v>1.1338800280338106</v>
      </c>
      <c r="H16">
        <f t="shared" si="2"/>
        <v>0.10533840468874248</v>
      </c>
      <c r="I16">
        <f t="shared" si="3"/>
        <v>45.612798386567327</v>
      </c>
      <c r="N16">
        <f t="shared" si="5"/>
        <v>0.58536585365853655</v>
      </c>
      <c r="O16">
        <v>12</v>
      </c>
      <c r="P16">
        <f t="shared" si="4"/>
        <v>-1.8418567475314122E-2</v>
      </c>
      <c r="Q16">
        <f t="shared" si="6"/>
        <v>-6.497515464108039E-3</v>
      </c>
      <c r="R16">
        <f t="shared" si="7"/>
        <v>3.8146133504902231E-4</v>
      </c>
      <c r="S16" s="26" t="str">
        <f t="shared" si="8"/>
        <v/>
      </c>
      <c r="T16" s="32">
        <f t="shared" si="9"/>
        <v>3.9918549700891412E-2</v>
      </c>
    </row>
    <row r="17" spans="1:20">
      <c r="A17" s="8">
        <f>'Dane empiryczne'!A15+30</f>
        <v>45.8</v>
      </c>
      <c r="B17" s="4" t="s">
        <v>16</v>
      </c>
      <c r="C17">
        <v>15</v>
      </c>
      <c r="F17">
        <f t="shared" si="0"/>
        <v>45.485306553911201</v>
      </c>
      <c r="G17" s="24">
        <f t="shared" si="1"/>
        <v>1.00691857370942</v>
      </c>
      <c r="H17">
        <f t="shared" si="2"/>
        <v>4.7840195751446421E-2</v>
      </c>
      <c r="I17">
        <f t="shared" si="3"/>
        <v>45.533146749662649</v>
      </c>
      <c r="N17">
        <f t="shared" si="5"/>
        <v>0.63414634146341464</v>
      </c>
      <c r="O17">
        <v>13</v>
      </c>
      <c r="P17">
        <f t="shared" si="4"/>
        <v>1.7098676200960179E-2</v>
      </c>
      <c r="Q17">
        <f t="shared" si="6"/>
        <v>-1.2912818746589925E-2</v>
      </c>
      <c r="R17">
        <f t="shared" si="7"/>
        <v>4.591056158075662E-4</v>
      </c>
      <c r="S17" s="26" t="str">
        <f t="shared" si="8"/>
        <v>13;</v>
      </c>
      <c r="T17" s="32">
        <f t="shared" si="9"/>
        <v>4.8043742992241859E-2</v>
      </c>
    </row>
    <row r="18" spans="1:20">
      <c r="A18" s="8">
        <f>'Dane empiryczne'!A16+30</f>
        <v>47.5</v>
      </c>
      <c r="B18" s="4" t="s">
        <v>17</v>
      </c>
      <c r="C18">
        <v>16</v>
      </c>
      <c r="F18">
        <f t="shared" si="0"/>
        <v>45.463153125943819</v>
      </c>
      <c r="G18" s="24">
        <f t="shared" si="1"/>
        <v>1.0448021471017117</v>
      </c>
      <c r="H18">
        <f t="shared" si="2"/>
        <v>-3.4133889549525158E-3</v>
      </c>
      <c r="I18">
        <f t="shared" si="3"/>
        <v>45.459739736988865</v>
      </c>
      <c r="N18">
        <f t="shared" si="5"/>
        <v>0.68292682926829273</v>
      </c>
      <c r="O18">
        <v>14</v>
      </c>
      <c r="P18">
        <f t="shared" si="4"/>
        <v>-3.4632075966990444E-2</v>
      </c>
      <c r="Q18">
        <f t="shared" si="6"/>
        <v>-4.5694376524288297E-3</v>
      </c>
      <c r="R18">
        <f t="shared" si="7"/>
        <v>1.2202604462428315E-3</v>
      </c>
      <c r="S18" s="26" t="str">
        <f t="shared" si="8"/>
        <v>14;</v>
      </c>
      <c r="T18" s="32">
        <f t="shared" si="9"/>
        <v>0.12769584436419082</v>
      </c>
    </row>
    <row r="19" spans="1:20">
      <c r="A19" s="8">
        <f>'Dane empiryczne'!A17+30</f>
        <v>47.5</v>
      </c>
      <c r="B19" s="4" t="s">
        <v>18</v>
      </c>
      <c r="C19">
        <v>17</v>
      </c>
      <c r="F19">
        <f t="shared" si="0"/>
        <v>45.440999697976437</v>
      </c>
      <c r="G19" s="24">
        <f t="shared" si="1"/>
        <v>1.0453115097755046</v>
      </c>
      <c r="H19">
        <f t="shared" si="2"/>
        <v>1.3714635478772159E-3</v>
      </c>
      <c r="I19">
        <f t="shared" si="3"/>
        <v>45.442371161524314</v>
      </c>
      <c r="N19">
        <f t="shared" si="5"/>
        <v>0.73170731707317072</v>
      </c>
      <c r="O19">
        <v>15</v>
      </c>
      <c r="P19">
        <f t="shared" si="4"/>
        <v>7.9322169478555536E-4</v>
      </c>
      <c r="Q19">
        <f t="shared" si="6"/>
        <v>6.332377926809957E-3</v>
      </c>
      <c r="R19">
        <f t="shared" si="7"/>
        <v>4.0728210865028435E-5</v>
      </c>
      <c r="S19" s="26" t="str">
        <f t="shared" si="8"/>
        <v/>
      </c>
      <c r="T19" s="32">
        <f t="shared" si="9"/>
        <v>4.2620600314186158E-3</v>
      </c>
    </row>
    <row r="20" spans="1:20">
      <c r="A20" s="8">
        <f>'Dane empiryczne'!A18+30</f>
        <v>42.3</v>
      </c>
      <c r="B20" s="4" t="s">
        <v>19</v>
      </c>
      <c r="C20">
        <v>18</v>
      </c>
      <c r="F20">
        <f t="shared" si="0"/>
        <v>45.418846270009055</v>
      </c>
      <c r="G20" s="24">
        <f t="shared" si="1"/>
        <v>0.93133145101335402</v>
      </c>
      <c r="H20">
        <f t="shared" si="2"/>
        <v>-6.5967810351578171E-2</v>
      </c>
      <c r="I20">
        <f t="shared" si="3"/>
        <v>45.352878459657475</v>
      </c>
      <c r="N20">
        <f t="shared" si="5"/>
        <v>0.78048780487804881</v>
      </c>
      <c r="O20">
        <v>16</v>
      </c>
      <c r="P20">
        <f t="shared" si="4"/>
        <v>5.2304229956902865E-3</v>
      </c>
      <c r="Q20">
        <f t="shared" si="6"/>
        <v>-9.763315823563776E-3</v>
      </c>
      <c r="R20">
        <f t="shared" si="7"/>
        <v>1.2267966058449655E-4</v>
      </c>
      <c r="S20" s="26" t="str">
        <f t="shared" si="8"/>
        <v/>
      </c>
      <c r="T20" s="32">
        <f t="shared" si="9"/>
        <v>1.2837982983783578E-2</v>
      </c>
    </row>
    <row r="21" spans="1:20">
      <c r="A21" s="8">
        <f>'Dane empiryczne'!A19+30</f>
        <v>39.200000000000003</v>
      </c>
      <c r="B21" s="4" t="s">
        <v>20</v>
      </c>
      <c r="C21">
        <v>19</v>
      </c>
      <c r="F21">
        <f t="shared" si="0"/>
        <v>45.396692842041674</v>
      </c>
      <c r="G21" s="24">
        <f t="shared" si="1"/>
        <v>0.86349902483859042</v>
      </c>
      <c r="H21">
        <f t="shared" si="2"/>
        <v>-8.6734818151388893E-2</v>
      </c>
      <c r="I21">
        <f t="shared" si="3"/>
        <v>45.309958023890282</v>
      </c>
      <c r="N21">
        <f t="shared" si="5"/>
        <v>0.82926829268292679</v>
      </c>
      <c r="O21">
        <v>17</v>
      </c>
      <c r="P21">
        <f t="shared" si="4"/>
        <v>5.3543710898810238E-3</v>
      </c>
      <c r="Q21">
        <f t="shared" si="6"/>
        <v>-3.632284734582986E-3</v>
      </c>
      <c r="R21">
        <f t="shared" si="7"/>
        <v>4.1862782161238298E-5</v>
      </c>
      <c r="S21" s="26" t="str">
        <f t="shared" si="8"/>
        <v/>
      </c>
      <c r="T21" s="32">
        <f t="shared" si="9"/>
        <v>4.3807888160047074E-3</v>
      </c>
    </row>
    <row r="22" spans="1:20">
      <c r="A22" s="8">
        <f>'Dane empiryczne'!A20+30</f>
        <v>46.7</v>
      </c>
      <c r="B22" s="4" t="s">
        <v>21</v>
      </c>
      <c r="C22">
        <v>20</v>
      </c>
      <c r="F22">
        <f t="shared" si="0"/>
        <v>45.374539414074292</v>
      </c>
      <c r="G22" s="24">
        <f t="shared" si="1"/>
        <v>1.0292115490987128</v>
      </c>
      <c r="H22">
        <f t="shared" si="2"/>
        <v>-1.8275300068315764E-2</v>
      </c>
      <c r="I22">
        <f t="shared" si="3"/>
        <v>45.356264114005974</v>
      </c>
      <c r="N22">
        <f t="shared" si="5"/>
        <v>0.87804878048780488</v>
      </c>
      <c r="O22">
        <v>18</v>
      </c>
      <c r="P22">
        <f t="shared" si="4"/>
        <v>-3.1199633842370965E-3</v>
      </c>
      <c r="Q22">
        <f t="shared" si="6"/>
        <v>6.666499076155468E-4</v>
      </c>
      <c r="R22">
        <f t="shared" si="7"/>
        <v>1.0178593618304014E-5</v>
      </c>
      <c r="S22" s="26" t="str">
        <f t="shared" si="8"/>
        <v/>
      </c>
      <c r="T22" s="32">
        <f t="shared" si="9"/>
        <v>1.065153025758767E-3</v>
      </c>
    </row>
    <row r="23" spans="1:20">
      <c r="A23" s="8">
        <f>'Dane empiryczne'!A21+30</f>
        <v>43.1</v>
      </c>
      <c r="B23" s="4" t="s">
        <v>22</v>
      </c>
      <c r="C23">
        <v>21</v>
      </c>
      <c r="F23">
        <f t="shared" si="0"/>
        <v>45.35238598610691</v>
      </c>
      <c r="G23" s="24">
        <f t="shared" si="1"/>
        <v>0.9503358878009881</v>
      </c>
      <c r="H23">
        <f t="shared" si="2"/>
        <v>-3.543461567366829E-2</v>
      </c>
      <c r="I23">
        <f t="shared" si="3"/>
        <v>45.316951370433245</v>
      </c>
      <c r="N23">
        <f t="shared" si="5"/>
        <v>0.92682926829268297</v>
      </c>
      <c r="O23">
        <v>19</v>
      </c>
      <c r="P23">
        <f>a(O23,$G$3:$G$44)</f>
        <v>1.4751265154636534E-2</v>
      </c>
      <c r="Q23">
        <f t="shared" si="6"/>
        <v>-9.1232029523079564E-4</v>
      </c>
      <c r="R23">
        <f t="shared" si="7"/>
        <v>2.18432151983484E-4</v>
      </c>
      <c r="S23" s="26" t="str">
        <f t="shared" si="8"/>
        <v/>
      </c>
      <c r="T23" s="32">
        <f t="shared" si="9"/>
        <v>2.2858135056085863E-2</v>
      </c>
    </row>
    <row r="24" spans="1:20">
      <c r="A24" s="8">
        <f>'Dane empiryczne'!A22+30</f>
        <v>40.799999999999997</v>
      </c>
      <c r="B24" s="4" t="s">
        <v>23</v>
      </c>
      <c r="C24">
        <v>22</v>
      </c>
      <c r="F24">
        <f t="shared" si="0"/>
        <v>45.330232558139528</v>
      </c>
      <c r="G24" s="24">
        <f t="shared" si="1"/>
        <v>0.9000615637184487</v>
      </c>
      <c r="H24">
        <f t="shared" si="2"/>
        <v>-6.1321016952459464E-2</v>
      </c>
      <c r="I24">
        <f t="shared" si="3"/>
        <v>45.268911541187066</v>
      </c>
      <c r="N24">
        <f t="shared" si="5"/>
        <v>0.97560975609756095</v>
      </c>
      <c r="O24">
        <v>20</v>
      </c>
      <c r="P24">
        <f t="shared" ref="P24:P25" si="10">a(O24,$G$3:$G$44)</f>
        <v>-8.5442453229606224E-3</v>
      </c>
      <c r="Q24">
        <f t="shared" si="6"/>
        <v>-6.0892886967682377E-3</v>
      </c>
      <c r="R24">
        <f t="shared" si="7"/>
        <v>1.1008356497152391E-4</v>
      </c>
      <c r="S24" s="26" t="str">
        <f t="shared" si="8"/>
        <v/>
      </c>
      <c r="T24" s="32">
        <f t="shared" si="9"/>
        <v>1.1519847113737901E-2</v>
      </c>
    </row>
    <row r="25" spans="1:20">
      <c r="A25" s="8">
        <f>'Dane empiryczne'!A23+30</f>
        <v>46.4</v>
      </c>
      <c r="B25" s="4" t="s">
        <v>24</v>
      </c>
      <c r="C25">
        <v>23</v>
      </c>
      <c r="F25">
        <f t="shared" si="0"/>
        <v>45.308079130172146</v>
      </c>
      <c r="G25" s="24">
        <f t="shared" si="1"/>
        <v>1.0240999153084975</v>
      </c>
      <c r="H25">
        <f t="shared" si="2"/>
        <v>-2.2095249129295599E-2</v>
      </c>
      <c r="I25">
        <f t="shared" si="3"/>
        <v>45.285983881042853</v>
      </c>
      <c r="N25">
        <f t="shared" si="5"/>
        <v>1.024390243902439</v>
      </c>
      <c r="O25">
        <v>21</v>
      </c>
      <c r="P25">
        <f t="shared" si="10"/>
        <v>5.8092633854114624E-16</v>
      </c>
      <c r="Q25">
        <f t="shared" si="6"/>
        <v>-2.8737664380969661E-3</v>
      </c>
      <c r="R25">
        <f t="shared" si="7"/>
        <v>8.2585335407325242E-6</v>
      </c>
      <c r="S25" s="26" t="str">
        <f t="shared" si="8"/>
        <v/>
      </c>
      <c r="T25" s="32">
        <f t="shared" si="9"/>
        <v>8.6422567980538217E-4</v>
      </c>
    </row>
    <row r="26" spans="1:20">
      <c r="A26" s="8">
        <f>'Dane empiryczne'!A24+30</f>
        <v>43</v>
      </c>
      <c r="B26" s="4" t="s">
        <v>25</v>
      </c>
      <c r="C26">
        <v>24</v>
      </c>
      <c r="F26">
        <f t="shared" si="0"/>
        <v>45.285925702204764</v>
      </c>
      <c r="G26" s="24">
        <f t="shared" si="1"/>
        <v>0.94952238103209463</v>
      </c>
      <c r="H26">
        <f t="shared" si="2"/>
        <v>-5.8813519042749576E-2</v>
      </c>
      <c r="I26">
        <f t="shared" si="3"/>
        <v>45.227112183162014</v>
      </c>
      <c r="S26" s="26"/>
      <c r="T26" s="32"/>
    </row>
    <row r="27" spans="1:20">
      <c r="A27" s="8">
        <f>'Dane empiryczne'!A25+30</f>
        <v>41</v>
      </c>
      <c r="B27" s="4" t="s">
        <v>26</v>
      </c>
      <c r="C27">
        <v>25</v>
      </c>
      <c r="F27">
        <f t="shared" si="0"/>
        <v>45.263772274237382</v>
      </c>
      <c r="G27" s="24">
        <f t="shared" si="1"/>
        <v>0.90580165858902184</v>
      </c>
      <c r="H27">
        <f t="shared" si="2"/>
        <v>-8.1008772737563323E-2</v>
      </c>
      <c r="I27">
        <f t="shared" si="3"/>
        <v>45.182763501499821</v>
      </c>
      <c r="S27" s="26"/>
      <c r="T27" s="32"/>
    </row>
    <row r="28" spans="1:20">
      <c r="A28" s="8">
        <f>'Dane empiryczne'!A26+30</f>
        <v>42</v>
      </c>
      <c r="B28" s="4" t="s">
        <v>27</v>
      </c>
      <c r="C28">
        <v>26</v>
      </c>
      <c r="F28">
        <f t="shared" si="0"/>
        <v>45.241618846270008</v>
      </c>
      <c r="G28" s="24">
        <f t="shared" si="1"/>
        <v>0.92834874328248607</v>
      </c>
      <c r="H28">
        <f t="shared" si="2"/>
        <v>9.7085525263932906E-3</v>
      </c>
      <c r="I28">
        <f t="shared" si="3"/>
        <v>45.251327398796398</v>
      </c>
      <c r="S28" s="26"/>
      <c r="T28" s="32"/>
    </row>
    <row r="29" spans="1:20">
      <c r="A29" s="8">
        <f>'Dane empiryczne'!A27+30</f>
        <v>47.5</v>
      </c>
      <c r="B29" s="4" t="s">
        <v>28</v>
      </c>
      <c r="C29">
        <v>27</v>
      </c>
      <c r="F29">
        <f t="shared" si="0"/>
        <v>45.219465418302626</v>
      </c>
      <c r="G29" s="24">
        <f t="shared" si="1"/>
        <v>1.0504325860688819</v>
      </c>
      <c r="H29">
        <f t="shared" si="2"/>
        <v>4.5232921854435899E-2</v>
      </c>
      <c r="I29">
        <f t="shared" si="3"/>
        <v>45.264698340157061</v>
      </c>
      <c r="S29" s="26"/>
      <c r="T29" s="32"/>
    </row>
    <row r="30" spans="1:20">
      <c r="A30" s="8">
        <f>'Dane empiryczne'!A28+30</f>
        <v>47.2</v>
      </c>
      <c r="B30" s="4" t="s">
        <v>29</v>
      </c>
      <c r="C30">
        <v>28</v>
      </c>
      <c r="F30">
        <f t="shared" si="0"/>
        <v>45.197311990335244</v>
      </c>
      <c r="G30" s="24">
        <f t="shared" si="1"/>
        <v>1.0443098919266041</v>
      </c>
      <c r="H30">
        <f t="shared" si="2"/>
        <v>5.1701223888329997E-2</v>
      </c>
      <c r="I30">
        <f t="shared" si="3"/>
        <v>45.249013214223574</v>
      </c>
      <c r="S30" s="26"/>
      <c r="T30" s="32"/>
    </row>
    <row r="31" spans="1:20">
      <c r="A31" s="8">
        <f>'Dane empiryczne'!A29+30</f>
        <v>52.1</v>
      </c>
      <c r="B31" s="4" t="s">
        <v>30</v>
      </c>
      <c r="C31">
        <v>29</v>
      </c>
      <c r="F31">
        <f t="shared" si="0"/>
        <v>45.175158562367862</v>
      </c>
      <c r="G31" s="24">
        <f t="shared" si="1"/>
        <v>1.1532887024197569</v>
      </c>
      <c r="H31">
        <f t="shared" si="2"/>
        <v>0.11813966795195757</v>
      </c>
      <c r="I31">
        <f t="shared" si="3"/>
        <v>45.29329823031982</v>
      </c>
      <c r="S31" s="26"/>
      <c r="T31" s="32"/>
    </row>
    <row r="32" spans="1:20">
      <c r="A32" s="8">
        <f>'Dane empiryczne'!A30+30</f>
        <v>52.5</v>
      </c>
      <c r="B32" s="4" t="s">
        <v>31</v>
      </c>
      <c r="C32">
        <v>30</v>
      </c>
      <c r="F32">
        <f t="shared" si="0"/>
        <v>45.15300513440048</v>
      </c>
      <c r="G32" s="24">
        <f t="shared" si="1"/>
        <v>1.1627133087538863</v>
      </c>
      <c r="H32">
        <f t="shared" si="2"/>
        <v>9.0432002904680023E-2</v>
      </c>
      <c r="I32">
        <f t="shared" si="3"/>
        <v>45.243437137305158</v>
      </c>
      <c r="S32" s="26"/>
      <c r="T32" s="32"/>
    </row>
    <row r="33" spans="1:20">
      <c r="A33" s="8">
        <f>'Dane empiryczne'!A31+30</f>
        <v>47.9</v>
      </c>
      <c r="B33" s="4" t="s">
        <v>32</v>
      </c>
      <c r="C33">
        <v>31</v>
      </c>
      <c r="F33">
        <f t="shared" si="0"/>
        <v>45.130851706433099</v>
      </c>
      <c r="G33" s="24">
        <f t="shared" si="1"/>
        <v>1.0613582103785597</v>
      </c>
      <c r="H33">
        <f t="shared" si="2"/>
        <v>1.2018643655841758E-2</v>
      </c>
      <c r="I33">
        <f t="shared" si="3"/>
        <v>45.142870350088941</v>
      </c>
      <c r="S33" s="26"/>
      <c r="T33" s="32"/>
    </row>
    <row r="34" spans="1:20">
      <c r="A34" s="8">
        <f>'Dane empiryczne'!A32+30</f>
        <v>44.7</v>
      </c>
      <c r="B34" s="4" t="s">
        <v>33</v>
      </c>
      <c r="C34">
        <v>32</v>
      </c>
      <c r="F34">
        <f t="shared" si="0"/>
        <v>45.108698278465717</v>
      </c>
      <c r="G34" s="24">
        <f t="shared" si="1"/>
        <v>0.9909397013422393</v>
      </c>
      <c r="H34">
        <f t="shared" si="2"/>
        <v>3.0667408363418833E-2</v>
      </c>
      <c r="I34">
        <f t="shared" si="3"/>
        <v>45.139365686829137</v>
      </c>
      <c r="S34" s="26"/>
      <c r="T34" s="32"/>
    </row>
    <row r="35" spans="1:20">
      <c r="A35" s="8">
        <f>'Dane empiryczne'!A33+30</f>
        <v>45.8</v>
      </c>
      <c r="B35" s="4" t="s">
        <v>34</v>
      </c>
      <c r="C35">
        <v>33</v>
      </c>
      <c r="F35">
        <f t="shared" ref="F35:F57" si="11">$D$5*C35+$E$5</f>
        <v>45.086544850498335</v>
      </c>
      <c r="G35" s="24">
        <f t="shared" si="1"/>
        <v>1.0158241256203462</v>
      </c>
      <c r="H35">
        <f t="shared" si="2"/>
        <v>1.8669526658828366E-2</v>
      </c>
      <c r="I35">
        <f t="shared" si="3"/>
        <v>45.105214377157161</v>
      </c>
      <c r="S35" s="26"/>
      <c r="T35" s="32"/>
    </row>
    <row r="36" spans="1:20">
      <c r="A36" s="8">
        <f>'Dane empiryczne'!A34+30</f>
        <v>44.1</v>
      </c>
      <c r="B36" s="4" t="s">
        <v>35</v>
      </c>
      <c r="C36">
        <v>34</v>
      </c>
      <c r="F36">
        <f t="shared" si="11"/>
        <v>45.064391422530953</v>
      </c>
      <c r="G36" s="24">
        <f t="shared" si="1"/>
        <v>0.97859970162497789</v>
      </c>
      <c r="H36">
        <f t="shared" si="2"/>
        <v>-2.1544237592614285E-2</v>
      </c>
      <c r="I36">
        <f t="shared" si="3"/>
        <v>45.042847184938339</v>
      </c>
      <c r="S36" s="26"/>
      <c r="T36" s="32"/>
    </row>
    <row r="37" spans="1:20">
      <c r="A37" s="8">
        <f>'Dane empiryczne'!A35+30</f>
        <v>44.8</v>
      </c>
      <c r="B37" s="4" t="s">
        <v>36</v>
      </c>
      <c r="C37">
        <v>35</v>
      </c>
      <c r="F37">
        <f t="shared" si="11"/>
        <v>45.042237994563571</v>
      </c>
      <c r="G37" s="24">
        <f t="shared" si="1"/>
        <v>0.99462198138128011</v>
      </c>
      <c r="H37">
        <f t="shared" si="2"/>
        <v>3.0781967477021624E-2</v>
      </c>
      <c r="I37">
        <f t="shared" si="3"/>
        <v>45.07301996204059</v>
      </c>
      <c r="S37" s="26"/>
      <c r="T37" s="32"/>
    </row>
    <row r="38" spans="1:20">
      <c r="A38" s="8">
        <f>'Dane empiryczne'!A36+30</f>
        <v>42.8</v>
      </c>
      <c r="B38" s="4" t="s">
        <v>37</v>
      </c>
      <c r="C38">
        <v>36</v>
      </c>
      <c r="F38">
        <f t="shared" si="11"/>
        <v>45.020084566596189</v>
      </c>
      <c r="G38" s="24">
        <f t="shared" si="1"/>
        <v>0.95068679706027381</v>
      </c>
      <c r="H38">
        <f t="shared" si="2"/>
        <v>2.7770835661136899E-2</v>
      </c>
      <c r="I38">
        <f t="shared" si="3"/>
        <v>45.047855402257326</v>
      </c>
      <c r="S38" s="26"/>
      <c r="T38" s="32"/>
    </row>
    <row r="39" spans="1:20">
      <c r="A39" s="8">
        <f>'Dane empiryczne'!A37+30</f>
        <v>42.4</v>
      </c>
      <c r="B39" s="4" t="s">
        <v>38</v>
      </c>
      <c r="C39">
        <v>37</v>
      </c>
      <c r="F39">
        <f t="shared" si="11"/>
        <v>44.997931138628807</v>
      </c>
      <c r="G39" s="24">
        <f t="shared" si="1"/>
        <v>0.94226554259516626</v>
      </c>
      <c r="H39">
        <f t="shared" si="2"/>
        <v>-5.1435547824587168E-2</v>
      </c>
      <c r="I39">
        <f t="shared" si="3"/>
        <v>44.946495590804219</v>
      </c>
      <c r="S39" s="26"/>
      <c r="T39" s="32"/>
    </row>
    <row r="40" spans="1:20">
      <c r="A40" s="8">
        <f>'Dane empiryczne'!A38+30</f>
        <v>43.6</v>
      </c>
      <c r="B40" s="4" t="s">
        <v>39</v>
      </c>
      <c r="C40">
        <v>38</v>
      </c>
      <c r="F40">
        <f t="shared" si="11"/>
        <v>44.975777710661426</v>
      </c>
      <c r="G40" s="24">
        <f t="shared" si="1"/>
        <v>0.96941069658623602</v>
      </c>
      <c r="H40">
        <f t="shared" si="2"/>
        <v>-4.5823049558147172E-2</v>
      </c>
      <c r="I40">
        <f t="shared" si="3"/>
        <v>44.929954661103281</v>
      </c>
      <c r="S40" s="26"/>
      <c r="T40" s="32"/>
    </row>
    <row r="41" spans="1:20">
      <c r="A41" s="8">
        <f>'Dane empiryczne'!A39+30</f>
        <v>41.8</v>
      </c>
      <c r="B41" s="4" t="s">
        <v>40</v>
      </c>
      <c r="C41">
        <v>39</v>
      </c>
      <c r="F41">
        <f t="shared" si="11"/>
        <v>44.953624282694044</v>
      </c>
      <c r="G41" s="24">
        <f t="shared" si="1"/>
        <v>0.92984716287028923</v>
      </c>
      <c r="H41">
        <f t="shared" si="2"/>
        <v>-5.0928749631788554E-2</v>
      </c>
      <c r="I41">
        <f t="shared" si="3"/>
        <v>44.902695533062257</v>
      </c>
      <c r="S41" s="26"/>
      <c r="T41" s="32"/>
    </row>
    <row r="42" spans="1:20">
      <c r="A42" s="8">
        <f>'Dane empiryczne'!A40+30</f>
        <v>45.7</v>
      </c>
      <c r="B42" s="4" t="s">
        <v>41</v>
      </c>
      <c r="C42">
        <v>40</v>
      </c>
      <c r="F42">
        <f t="shared" si="11"/>
        <v>44.931470854726662</v>
      </c>
      <c r="G42" s="24">
        <f t="shared" si="1"/>
        <v>1.0171044733380343</v>
      </c>
      <c r="H42">
        <f t="shared" si="2"/>
        <v>-9.3433768319511654E-2</v>
      </c>
      <c r="I42">
        <f t="shared" si="3"/>
        <v>44.838037086407148</v>
      </c>
      <c r="S42" s="26"/>
      <c r="T42" s="32"/>
    </row>
    <row r="43" spans="1:20">
      <c r="A43" s="8">
        <f>'Dane empiryczne'!A41+30</f>
        <v>50</v>
      </c>
      <c r="B43" s="4" t="s">
        <v>42</v>
      </c>
      <c r="C43">
        <v>41</v>
      </c>
      <c r="F43">
        <f t="shared" si="11"/>
        <v>44.90931742675928</v>
      </c>
      <c r="G43" s="24">
        <f t="shared" si="1"/>
        <v>1.1133547082193556</v>
      </c>
      <c r="H43">
        <f t="shared" si="2"/>
        <v>-2.4272257578323703E-2</v>
      </c>
      <c r="I43">
        <f t="shared" si="3"/>
        <v>44.885045169180955</v>
      </c>
      <c r="S43" s="26"/>
      <c r="T43" s="32"/>
    </row>
    <row r="44" spans="1:20">
      <c r="A44" s="8">
        <f>'Dane empiryczne'!A42+30</f>
        <v>45</v>
      </c>
      <c r="B44" s="4" t="s">
        <v>43</v>
      </c>
      <c r="C44">
        <v>42</v>
      </c>
      <c r="F44">
        <f t="shared" si="11"/>
        <v>44.887163998791898</v>
      </c>
      <c r="G44" s="24">
        <f t="shared" si="1"/>
        <v>1.0025137698877822</v>
      </c>
      <c r="H44">
        <f t="shared" si="2"/>
        <v>3.5636892335956072E-2</v>
      </c>
      <c r="I44">
        <f t="shared" si="3"/>
        <v>44.922800891127856</v>
      </c>
      <c r="S44" s="26"/>
      <c r="T44" s="32"/>
    </row>
    <row r="45" spans="1:20" ht="15.75" thickBot="1">
      <c r="A45" s="8">
        <f>'Dane empiryczne'!A43+30</f>
        <v>41.5</v>
      </c>
      <c r="B45" s="29" t="s">
        <v>44</v>
      </c>
      <c r="C45">
        <v>43</v>
      </c>
      <c r="F45" s="30">
        <f t="shared" si="11"/>
        <v>44.865010570824523</v>
      </c>
      <c r="G45" s="24">
        <f t="shared" si="1"/>
        <v>0.92499699592152174</v>
      </c>
      <c r="H45">
        <f t="shared" si="2"/>
        <v>1.6323895774017403E-3</v>
      </c>
      <c r="I45">
        <f t="shared" si="3"/>
        <v>44.866642960401926</v>
      </c>
      <c r="S45" s="26"/>
      <c r="T45" s="32"/>
    </row>
    <row r="46" spans="1:20" ht="15.75" thickTop="1">
      <c r="A46" s="8">
        <f>'Dane empiryczne'!A44</f>
        <v>17.399999999999999</v>
      </c>
      <c r="B46" s="27" t="s">
        <v>45</v>
      </c>
      <c r="C46">
        <v>44</v>
      </c>
      <c r="F46">
        <f t="shared" si="11"/>
        <v>44.842857142857142</v>
      </c>
      <c r="G46" s="24"/>
      <c r="H46">
        <f t="shared" si="2"/>
        <v>2.1227979335820883E-2</v>
      </c>
      <c r="I46">
        <f t="shared" si="3"/>
        <v>44.864085122192961</v>
      </c>
      <c r="J46">
        <f>I46-30</f>
        <v>14.864085122192961</v>
      </c>
      <c r="K46" s="24">
        <f>J46-A46</f>
        <v>-2.5359148778070377</v>
      </c>
      <c r="S46" s="26"/>
      <c r="T46" s="32"/>
    </row>
    <row r="47" spans="1:20">
      <c r="A47" s="8">
        <f>'Dane empiryczne'!A45</f>
        <v>15.6</v>
      </c>
      <c r="B47" s="4" t="s">
        <v>46</v>
      </c>
      <c r="C47">
        <v>45</v>
      </c>
      <c r="F47">
        <f t="shared" si="11"/>
        <v>44.82070371488976</v>
      </c>
      <c r="G47" s="24"/>
      <c r="H47">
        <f t="shared" si="2"/>
        <v>2.2514959513266809E-2</v>
      </c>
      <c r="I47">
        <f t="shared" si="3"/>
        <v>44.843218674403026</v>
      </c>
      <c r="J47">
        <f t="shared" ref="J47:J57" si="12">I47-30</f>
        <v>14.843218674403026</v>
      </c>
      <c r="K47" s="24">
        <f t="shared" ref="K47:K57" si="13">J47-A47</f>
        <v>-0.75678132559697353</v>
      </c>
      <c r="S47" s="26"/>
      <c r="T47" s="32"/>
    </row>
    <row r="48" spans="1:20">
      <c r="A48" s="8">
        <f>'Dane empiryczne'!A46</f>
        <v>15</v>
      </c>
      <c r="B48" s="4" t="s">
        <v>47</v>
      </c>
      <c r="C48">
        <v>46</v>
      </c>
      <c r="F48">
        <f t="shared" si="11"/>
        <v>44.798550286922378</v>
      </c>
      <c r="G48" s="24"/>
      <c r="H48">
        <f t="shared" si="2"/>
        <v>-5.5215312585904508E-2</v>
      </c>
      <c r="I48">
        <f t="shared" si="3"/>
        <v>44.74333497433647</v>
      </c>
      <c r="J48">
        <f t="shared" si="12"/>
        <v>14.74333497433647</v>
      </c>
      <c r="K48" s="24">
        <f t="shared" si="13"/>
        <v>-0.25666502566352989</v>
      </c>
      <c r="S48" s="26"/>
      <c r="T48" s="32"/>
    </row>
    <row r="49" spans="1:20">
      <c r="A49" s="8">
        <f>'Dane empiryczne'!A47</f>
        <v>14.9</v>
      </c>
      <c r="B49" s="4" t="s">
        <v>48</v>
      </c>
      <c r="C49">
        <v>47</v>
      </c>
      <c r="F49">
        <f t="shared" si="11"/>
        <v>44.776396858954996</v>
      </c>
      <c r="G49" s="24"/>
      <c r="H49">
        <f t="shared" si="2"/>
        <v>-3.6882523142371997E-2</v>
      </c>
      <c r="I49">
        <f t="shared" si="3"/>
        <v>44.739514335812622</v>
      </c>
      <c r="J49">
        <f t="shared" si="12"/>
        <v>14.739514335812622</v>
      </c>
      <c r="K49" s="24">
        <f t="shared" si="13"/>
        <v>-0.16048566418737842</v>
      </c>
      <c r="S49" s="26"/>
      <c r="T49" s="32"/>
    </row>
    <row r="50" spans="1:20">
      <c r="A50" s="8">
        <f>'Dane empiryczne'!A48</f>
        <v>11.6</v>
      </c>
      <c r="B50" s="4" t="s">
        <v>49</v>
      </c>
      <c r="C50">
        <v>48</v>
      </c>
      <c r="F50">
        <f t="shared" si="11"/>
        <v>44.754243430987614</v>
      </c>
      <c r="G50" s="24"/>
      <c r="H50">
        <f t="shared" si="2"/>
        <v>1.8299818021437004E-2</v>
      </c>
      <c r="I50">
        <f t="shared" si="3"/>
        <v>44.772543249009054</v>
      </c>
      <c r="J50">
        <f t="shared" si="12"/>
        <v>14.772543249009054</v>
      </c>
      <c r="K50" s="24">
        <f t="shared" si="13"/>
        <v>3.1725432490090544</v>
      </c>
      <c r="S50" s="26"/>
      <c r="T50" s="32"/>
    </row>
    <row r="51" spans="1:20">
      <c r="A51" s="8">
        <f>'Dane empiryczne'!A49</f>
        <v>13.9</v>
      </c>
      <c r="B51" s="4" t="s">
        <v>50</v>
      </c>
      <c r="C51">
        <v>49</v>
      </c>
      <c r="F51">
        <f t="shared" si="11"/>
        <v>44.732090003020232</v>
      </c>
      <c r="G51" s="24"/>
      <c r="H51">
        <f t="shared" si="2"/>
        <v>-5.5482917642033364E-3</v>
      </c>
      <c r="I51">
        <f t="shared" si="3"/>
        <v>44.726541711256026</v>
      </c>
      <c r="J51">
        <f t="shared" si="12"/>
        <v>14.726541711256026</v>
      </c>
      <c r="K51" s="24">
        <f t="shared" si="13"/>
        <v>0.82654171125602538</v>
      </c>
      <c r="S51" s="26"/>
      <c r="T51" s="32"/>
    </row>
    <row r="52" spans="1:20">
      <c r="A52" s="8">
        <f>'Dane empiryczne'!A50</f>
        <v>12.7</v>
      </c>
      <c r="B52" s="4" t="s">
        <v>51</v>
      </c>
      <c r="C52">
        <v>50</v>
      </c>
      <c r="F52">
        <f t="shared" si="11"/>
        <v>44.709936575052851</v>
      </c>
      <c r="G52" s="24"/>
      <c r="H52">
        <f t="shared" si="2"/>
        <v>2.4949291566006036E-2</v>
      </c>
      <c r="I52">
        <f t="shared" si="3"/>
        <v>44.734885866618853</v>
      </c>
      <c r="J52">
        <f t="shared" si="12"/>
        <v>14.734885866618853</v>
      </c>
      <c r="K52" s="24">
        <f t="shared" si="13"/>
        <v>2.0348858666188541</v>
      </c>
      <c r="S52" s="26"/>
      <c r="T52" s="32"/>
    </row>
    <row r="53" spans="1:20">
      <c r="A53" s="8">
        <f>'Dane empiryczne'!A51</f>
        <v>15.5</v>
      </c>
      <c r="B53" s="4" t="s">
        <v>52</v>
      </c>
      <c r="C53">
        <v>51</v>
      </c>
      <c r="F53">
        <f t="shared" si="11"/>
        <v>44.687783147085469</v>
      </c>
      <c r="G53" s="24"/>
      <c r="H53">
        <f t="shared" si="2"/>
        <v>5.9960111677959206E-2</v>
      </c>
      <c r="I53">
        <f t="shared" si="3"/>
        <v>44.747743258763428</v>
      </c>
      <c r="J53">
        <f t="shared" si="12"/>
        <v>14.747743258763428</v>
      </c>
      <c r="K53" s="24">
        <f t="shared" si="13"/>
        <v>-0.75225674123657171</v>
      </c>
      <c r="S53" s="26"/>
      <c r="T53" s="32"/>
    </row>
    <row r="54" spans="1:20">
      <c r="A54" s="8">
        <f>'Dane empiryczne'!A52</f>
        <v>15.6</v>
      </c>
      <c r="B54" s="4" t="s">
        <v>53</v>
      </c>
      <c r="C54">
        <v>52</v>
      </c>
      <c r="F54">
        <f t="shared" si="11"/>
        <v>44.665629719118087</v>
      </c>
      <c r="G54" s="24"/>
      <c r="H54">
        <f t="shared" si="2"/>
        <v>-1.0945516495554244E-2</v>
      </c>
      <c r="I54">
        <f t="shared" si="3"/>
        <v>44.654684202622533</v>
      </c>
      <c r="J54">
        <f t="shared" si="12"/>
        <v>14.654684202622533</v>
      </c>
      <c r="K54" s="24">
        <f t="shared" si="13"/>
        <v>-0.94531579737746618</v>
      </c>
      <c r="S54" s="26"/>
      <c r="T54" s="32"/>
    </row>
    <row r="55" spans="1:20">
      <c r="A55" s="8">
        <f>'Dane empiryczne'!A53</f>
        <v>14.3</v>
      </c>
      <c r="B55" s="4" t="s">
        <v>54</v>
      </c>
      <c r="C55">
        <v>53</v>
      </c>
      <c r="F55">
        <f t="shared" si="11"/>
        <v>44.643476291150705</v>
      </c>
      <c r="G55" s="24"/>
      <c r="H55">
        <f t="shared" si="2"/>
        <v>-2.1551042184071004E-2</v>
      </c>
      <c r="I55">
        <f t="shared" si="3"/>
        <v>44.621925248966633</v>
      </c>
      <c r="J55">
        <f t="shared" si="12"/>
        <v>14.621925248966633</v>
      </c>
      <c r="K55" s="24">
        <f t="shared" si="13"/>
        <v>0.32192524896663244</v>
      </c>
      <c r="S55" s="26"/>
      <c r="T55" s="32"/>
    </row>
    <row r="56" spans="1:20">
      <c r="A56" s="8">
        <f>'Dane empiryczne'!A54</f>
        <v>18</v>
      </c>
      <c r="B56" s="4" t="s">
        <v>55</v>
      </c>
      <c r="C56">
        <v>54</v>
      </c>
      <c r="F56">
        <f t="shared" si="11"/>
        <v>44.621322863183323</v>
      </c>
      <c r="G56" s="24"/>
      <c r="H56">
        <f t="shared" si="2"/>
        <v>2.8313638042744275E-2</v>
      </c>
      <c r="I56">
        <f t="shared" si="3"/>
        <v>44.64963650122607</v>
      </c>
      <c r="J56">
        <f t="shared" si="12"/>
        <v>14.64963650122607</v>
      </c>
      <c r="K56" s="24">
        <f t="shared" si="13"/>
        <v>-3.3503634987739304</v>
      </c>
      <c r="S56" s="26"/>
      <c r="T56" s="32"/>
    </row>
    <row r="57" spans="1:20">
      <c r="A57" s="8">
        <f>'Dane empiryczne'!A55</f>
        <v>15.6</v>
      </c>
      <c r="B57" s="4" t="s">
        <v>56</v>
      </c>
      <c r="C57">
        <v>55</v>
      </c>
      <c r="F57">
        <f t="shared" si="11"/>
        <v>44.599169435215941</v>
      </c>
      <c r="G57" s="24"/>
      <c r="H57">
        <f t="shared" si="2"/>
        <v>8.5292270046490523E-3</v>
      </c>
      <c r="I57">
        <f t="shared" si="3"/>
        <v>44.607698662220592</v>
      </c>
      <c r="J57">
        <f t="shared" si="12"/>
        <v>14.607698662220592</v>
      </c>
      <c r="K57" s="24">
        <f t="shared" si="13"/>
        <v>-0.99230133777940743</v>
      </c>
      <c r="S57" s="26"/>
      <c r="T57" s="32"/>
    </row>
    <row r="58" spans="1:20">
      <c r="A58" s="5"/>
      <c r="B58" s="4"/>
      <c r="G58" s="24"/>
      <c r="K58" s="34">
        <f>SUMSQ(K46:K57)</f>
        <v>35.756922729813034</v>
      </c>
      <c r="S58" s="26"/>
      <c r="T58" s="32"/>
    </row>
    <row r="59" spans="1:20">
      <c r="A59" s="5"/>
      <c r="B59" s="4"/>
      <c r="G59" s="24"/>
      <c r="S59" s="26"/>
      <c r="T59" s="32"/>
    </row>
    <row r="60" spans="1:20">
      <c r="A60" s="5"/>
      <c r="B60" s="4"/>
      <c r="G60" s="24"/>
      <c r="S60" s="26"/>
      <c r="T60" s="32"/>
    </row>
    <row r="61" spans="1:20">
      <c r="A61" s="5"/>
      <c r="B61" s="4"/>
      <c r="G61" s="24"/>
      <c r="S61" s="26"/>
      <c r="T61" s="32"/>
    </row>
    <row r="62" spans="1:20">
      <c r="A62" s="5"/>
      <c r="B62" s="4"/>
      <c r="G62" s="24"/>
      <c r="S62" s="26"/>
      <c r="T62" s="32"/>
    </row>
    <row r="63" spans="1:20">
      <c r="A63" s="5"/>
      <c r="B63" s="3"/>
      <c r="G63" s="24"/>
      <c r="S63" s="26"/>
      <c r="T63" s="32"/>
    </row>
    <row r="64" spans="1:20">
      <c r="A64" s="5"/>
      <c r="B64" s="4"/>
      <c r="G64" s="24"/>
      <c r="S64" s="26"/>
      <c r="T64" s="32"/>
    </row>
    <row r="65" spans="1:20">
      <c r="A65" s="5"/>
      <c r="B65" s="4"/>
      <c r="G65" s="24"/>
      <c r="S65" s="26"/>
      <c r="T65" s="32"/>
    </row>
    <row r="66" spans="1:20">
      <c r="A66" s="5"/>
      <c r="B66" s="4"/>
      <c r="G66" s="24"/>
      <c r="S66" s="26"/>
      <c r="T66" s="32"/>
    </row>
    <row r="67" spans="1:20">
      <c r="A67" s="5"/>
      <c r="B67" s="4"/>
      <c r="G67" s="24"/>
      <c r="S67" s="26"/>
      <c r="T67" s="32"/>
    </row>
    <row r="68" spans="1:20">
      <c r="A68" s="5"/>
      <c r="B68" s="4"/>
      <c r="G68" s="24"/>
      <c r="S68" s="26"/>
      <c r="T68" s="32"/>
    </row>
    <row r="69" spans="1:20">
      <c r="A69" s="5"/>
      <c r="B69" s="4"/>
      <c r="G69" s="24"/>
      <c r="S69" s="26"/>
      <c r="T69" s="32"/>
    </row>
    <row r="70" spans="1:20">
      <c r="A70" s="5"/>
      <c r="B70" s="4"/>
      <c r="G70" s="24"/>
      <c r="S70" s="26"/>
      <c r="T70" s="32"/>
    </row>
    <row r="71" spans="1:20">
      <c r="A71" s="5"/>
      <c r="B71" s="4"/>
      <c r="G71" s="24"/>
      <c r="S71" s="26"/>
      <c r="T71" s="32"/>
    </row>
    <row r="72" spans="1:20">
      <c r="A72" s="5"/>
      <c r="B72" s="4"/>
      <c r="G72" s="24"/>
      <c r="S72" s="26"/>
      <c r="T72" s="32"/>
    </row>
    <row r="73" spans="1:20">
      <c r="A73" s="5"/>
      <c r="B73" s="4"/>
      <c r="G73" s="24"/>
      <c r="S73" s="26"/>
      <c r="T73" s="32"/>
    </row>
    <row r="74" spans="1:20">
      <c r="A74" s="5"/>
      <c r="B74" s="4"/>
      <c r="G74" s="24"/>
      <c r="S74" s="26"/>
      <c r="T74" s="32"/>
    </row>
    <row r="75" spans="1:20">
      <c r="A75" s="5"/>
      <c r="B75" s="3"/>
      <c r="G75" s="24"/>
      <c r="S75" s="26"/>
      <c r="T75" s="32"/>
    </row>
    <row r="76" spans="1:20">
      <c r="A76" s="5"/>
      <c r="B76" s="4"/>
      <c r="G76" s="24"/>
      <c r="S76" s="26"/>
      <c r="T76" s="32"/>
    </row>
    <row r="77" spans="1:20">
      <c r="A77" s="5"/>
      <c r="B77" s="4"/>
      <c r="G77" s="24"/>
      <c r="S77" s="26"/>
      <c r="T77" s="32"/>
    </row>
    <row r="78" spans="1:20">
      <c r="A78" s="5"/>
      <c r="B78" s="4"/>
      <c r="G78" s="24"/>
      <c r="S78" s="26"/>
      <c r="T78" s="32"/>
    </row>
    <row r="79" spans="1:20">
      <c r="A79" s="5"/>
      <c r="B79" s="4"/>
      <c r="G79" s="24"/>
      <c r="S79" s="26"/>
      <c r="T79" s="32"/>
    </row>
    <row r="80" spans="1:20">
      <c r="A80" s="5"/>
      <c r="B80" s="4"/>
      <c r="G80" s="24"/>
      <c r="S80" s="26"/>
      <c r="T80" s="32"/>
    </row>
    <row r="81" spans="1:20">
      <c r="A81" s="5"/>
      <c r="B81" s="4"/>
      <c r="G81" s="24"/>
      <c r="S81" s="26"/>
      <c r="T81" s="32"/>
    </row>
    <row r="82" spans="1:20">
      <c r="A82" s="5"/>
      <c r="B82" s="4"/>
      <c r="G82" s="24"/>
      <c r="S82" s="26"/>
      <c r="T82" s="32"/>
    </row>
    <row r="83" spans="1:20">
      <c r="A83" s="5"/>
      <c r="B83" s="4"/>
      <c r="G83" s="24"/>
      <c r="S83" s="26"/>
      <c r="T83" s="32"/>
    </row>
    <row r="84" spans="1:20">
      <c r="A84" s="5"/>
      <c r="B84" s="4"/>
      <c r="G84" s="24"/>
      <c r="S84" s="26"/>
      <c r="T84" s="32"/>
    </row>
    <row r="85" spans="1:20">
      <c r="A85" s="5"/>
      <c r="B85" s="4"/>
      <c r="G85" s="24"/>
      <c r="S85" s="26"/>
      <c r="T85" s="32"/>
    </row>
    <row r="86" spans="1:20">
      <c r="A86" s="5"/>
      <c r="B86" s="4"/>
      <c r="G86" s="24"/>
      <c r="S86" s="26"/>
      <c r="T86" s="32"/>
    </row>
    <row r="87" spans="1:20">
      <c r="A87" s="5"/>
      <c r="B87" s="3"/>
      <c r="G87" s="24"/>
      <c r="S87" s="26"/>
      <c r="T87" s="32"/>
    </row>
    <row r="88" spans="1:20">
      <c r="A88" s="5"/>
      <c r="B88" s="4"/>
      <c r="G88" s="24"/>
      <c r="S88" s="26"/>
      <c r="T88" s="32"/>
    </row>
    <row r="89" spans="1:20">
      <c r="A89" s="5"/>
      <c r="B89" s="4"/>
      <c r="G89" s="24"/>
      <c r="S89" s="26"/>
      <c r="T89" s="32"/>
    </row>
    <row r="90" spans="1:20">
      <c r="A90" s="5"/>
      <c r="B90" s="4"/>
      <c r="G90" s="24"/>
      <c r="S90" s="26"/>
      <c r="T90" s="32"/>
    </row>
    <row r="91" spans="1:20">
      <c r="A91" s="5"/>
      <c r="B91" s="4"/>
      <c r="G91" s="24"/>
      <c r="S91" s="26"/>
      <c r="T91" s="32"/>
    </row>
    <row r="92" spans="1:20">
      <c r="A92" s="5"/>
      <c r="B92" s="4"/>
      <c r="G92" s="24"/>
      <c r="S92" s="26"/>
      <c r="T92" s="32"/>
    </row>
    <row r="93" spans="1:20">
      <c r="A93" s="5"/>
      <c r="B93" s="4"/>
      <c r="G93" s="24"/>
      <c r="S93" s="26"/>
      <c r="T93" s="32"/>
    </row>
    <row r="94" spans="1:20">
      <c r="A94" s="5"/>
      <c r="B94" s="4"/>
      <c r="G94" s="24"/>
      <c r="S94" s="26"/>
      <c r="T94" s="32"/>
    </row>
    <row r="95" spans="1:20">
      <c r="A95" s="5"/>
      <c r="B95" s="4"/>
      <c r="G95" s="24"/>
      <c r="S95" s="26"/>
      <c r="T95" s="32"/>
    </row>
    <row r="96" spans="1:20">
      <c r="A96" s="5"/>
      <c r="B96" s="4"/>
      <c r="G96" s="24"/>
      <c r="S96" s="26"/>
      <c r="T96" s="32"/>
    </row>
    <row r="97" spans="1:20">
      <c r="A97" s="5"/>
      <c r="B97" s="4"/>
      <c r="G97" s="24"/>
      <c r="S97" s="26"/>
      <c r="T97" s="32"/>
    </row>
    <row r="98" spans="1:20">
      <c r="A98" s="5"/>
      <c r="B98" s="4"/>
      <c r="G98" s="24"/>
      <c r="S98" s="26"/>
      <c r="T98" s="32"/>
    </row>
    <row r="99" spans="1:20">
      <c r="A99" s="5"/>
      <c r="B99" s="3"/>
      <c r="G99" s="24"/>
      <c r="S99" s="26"/>
      <c r="T99" s="32"/>
    </row>
    <row r="100" spans="1:20">
      <c r="A100" s="5"/>
      <c r="B100" s="4"/>
      <c r="G100" s="24"/>
      <c r="S100" s="26"/>
      <c r="T100" s="32"/>
    </row>
    <row r="101" spans="1:20">
      <c r="A101" s="5"/>
      <c r="B101" s="4"/>
      <c r="G101" s="24"/>
      <c r="S101" s="26"/>
      <c r="T101" s="32"/>
    </row>
    <row r="102" spans="1:20">
      <c r="A102" s="5"/>
      <c r="B102" s="4"/>
      <c r="G102" s="24"/>
      <c r="S102" s="26"/>
      <c r="T102" s="32"/>
    </row>
    <row r="103" spans="1:20">
      <c r="A103" s="5"/>
      <c r="B103" s="4"/>
      <c r="G103" s="24"/>
      <c r="S103" s="26"/>
      <c r="T103" s="32"/>
    </row>
    <row r="104" spans="1:20">
      <c r="A104" s="5"/>
      <c r="B104" s="4"/>
      <c r="G104" s="24"/>
      <c r="S104" s="26"/>
      <c r="T104" s="32"/>
    </row>
    <row r="105" spans="1:20">
      <c r="A105" s="5"/>
      <c r="B105" s="4"/>
      <c r="G105" s="24"/>
      <c r="S105" s="26"/>
      <c r="T105" s="32"/>
    </row>
    <row r="106" spans="1:20">
      <c r="A106" s="5"/>
      <c r="B106" s="4"/>
      <c r="G106" s="24"/>
      <c r="S106" s="26"/>
      <c r="T106" s="32"/>
    </row>
    <row r="107" spans="1:20">
      <c r="A107" s="5"/>
      <c r="B107" s="4"/>
      <c r="G107" s="24"/>
      <c r="S107" s="26"/>
      <c r="T107" s="32"/>
    </row>
    <row r="108" spans="1:20">
      <c r="A108" s="5"/>
      <c r="B108" s="4"/>
      <c r="G108" s="24"/>
    </row>
    <row r="109" spans="1:20">
      <c r="A109" s="5"/>
      <c r="B109" s="4"/>
      <c r="G109" s="24"/>
    </row>
    <row r="110" spans="1:20">
      <c r="A110" s="5"/>
      <c r="B110" s="4"/>
      <c r="G110" s="24"/>
    </row>
    <row r="111" spans="1:20">
      <c r="A111" s="6"/>
      <c r="B111" s="4"/>
      <c r="G111" s="24"/>
    </row>
    <row r="112" spans="1:20">
      <c r="A112" s="6"/>
      <c r="B112" s="4"/>
      <c r="G112" s="24"/>
    </row>
    <row r="113" spans="1:7">
      <c r="A113" s="6"/>
      <c r="B113" s="4"/>
      <c r="G113" s="24"/>
    </row>
    <row r="114" spans="1:7">
      <c r="A114" s="6"/>
      <c r="B114" s="4"/>
      <c r="G114" s="24"/>
    </row>
    <row r="115" spans="1:7">
      <c r="A115" s="6"/>
      <c r="B115" s="4"/>
      <c r="G115" s="24"/>
    </row>
    <row r="116" spans="1:7">
      <c r="A116" s="6"/>
      <c r="B116" s="4"/>
      <c r="G116" s="24"/>
    </row>
    <row r="117" spans="1:7">
      <c r="A117" s="6"/>
      <c r="B117" s="4"/>
      <c r="G117" s="24"/>
    </row>
    <row r="118" spans="1:7">
      <c r="A118" s="6"/>
      <c r="B118" s="4"/>
      <c r="G118" s="24"/>
    </row>
    <row r="119" spans="1:7">
      <c r="A119" s="6"/>
      <c r="B119" s="4"/>
      <c r="G119" s="24"/>
    </row>
    <row r="120" spans="1:7">
      <c r="A120" s="6"/>
      <c r="B120" s="4"/>
      <c r="G120" s="24"/>
    </row>
    <row r="121" spans="1:7">
      <c r="A121" s="6"/>
      <c r="B121" s="4"/>
      <c r="G121" s="24"/>
    </row>
    <row r="122" spans="1:7">
      <c r="A122" s="6"/>
      <c r="B122" s="4"/>
      <c r="G122" s="24"/>
    </row>
    <row r="123" spans="1:7">
      <c r="A123" s="6"/>
      <c r="B123" s="4"/>
      <c r="G123" s="24"/>
    </row>
    <row r="124" spans="1:7">
      <c r="A124" s="6"/>
      <c r="B124" s="4"/>
      <c r="G124" s="24"/>
    </row>
    <row r="125" spans="1:7">
      <c r="A125" s="6"/>
      <c r="B125" s="4"/>
      <c r="G125" s="24"/>
    </row>
    <row r="126" spans="1:7">
      <c r="A126" s="6"/>
      <c r="B126" s="4"/>
      <c r="G126" s="24"/>
    </row>
    <row r="127" spans="1:7">
      <c r="A127" s="6"/>
      <c r="B127" s="4"/>
      <c r="G127" s="24"/>
    </row>
    <row r="128" spans="1:7">
      <c r="A128" s="6"/>
      <c r="B128" s="4"/>
      <c r="G128" s="24"/>
    </row>
    <row r="129" spans="1:7">
      <c r="A129" s="6"/>
      <c r="B129" s="4"/>
      <c r="G129" s="24"/>
    </row>
    <row r="130" spans="1:7">
      <c r="A130" s="6"/>
      <c r="B130" s="4"/>
      <c r="G130" s="24"/>
    </row>
    <row r="131" spans="1:7">
      <c r="A131" s="6"/>
      <c r="B131" s="4"/>
      <c r="G131" s="24"/>
    </row>
    <row r="132" spans="1:7">
      <c r="A132" s="6"/>
      <c r="B132" s="4"/>
      <c r="G132" s="24"/>
    </row>
    <row r="133" spans="1:7">
      <c r="A133" s="6"/>
      <c r="B133" s="4"/>
      <c r="G133" s="24"/>
    </row>
    <row r="134" spans="1:7">
      <c r="A134" s="6"/>
      <c r="B134" s="4"/>
      <c r="G134" s="24"/>
    </row>
    <row r="135" spans="1:7">
      <c r="A135" s="6"/>
      <c r="B135" s="4"/>
      <c r="G135" s="24"/>
    </row>
    <row r="136" spans="1:7">
      <c r="A136" s="6"/>
      <c r="B136" s="4"/>
      <c r="G136" s="24"/>
    </row>
    <row r="137" spans="1:7">
      <c r="A137" s="6"/>
      <c r="B137" s="4"/>
      <c r="G137" s="24"/>
    </row>
    <row r="138" spans="1:7">
      <c r="A138" s="6"/>
      <c r="B138" s="4"/>
      <c r="G138" s="24"/>
    </row>
    <row r="139" spans="1:7">
      <c r="A139" s="6"/>
      <c r="B139" s="4"/>
      <c r="G139" s="24"/>
    </row>
    <row r="140" spans="1:7">
      <c r="A140" s="6"/>
      <c r="B140" s="4"/>
      <c r="G140" s="24"/>
    </row>
    <row r="141" spans="1:7">
      <c r="A141" s="6"/>
      <c r="B141" s="4"/>
      <c r="G141" s="24"/>
    </row>
    <row r="142" spans="1:7">
      <c r="A142" s="6"/>
      <c r="B142" s="4"/>
      <c r="G142" s="24"/>
    </row>
    <row r="143" spans="1:7">
      <c r="A143" s="6"/>
      <c r="B143" s="4"/>
      <c r="G143" s="24"/>
    </row>
    <row r="144" spans="1:7">
      <c r="A144" s="6"/>
      <c r="B144" s="4"/>
      <c r="G144" s="24"/>
    </row>
    <row r="145" spans="1:7">
      <c r="A145" s="6"/>
      <c r="B145" s="4"/>
      <c r="G145" s="24"/>
    </row>
    <row r="146" spans="1:7">
      <c r="A146" s="6"/>
      <c r="B146" s="4"/>
      <c r="G146" s="24"/>
    </row>
    <row r="147" spans="1:7">
      <c r="A147" s="6"/>
      <c r="B147" s="4"/>
      <c r="G147" s="24"/>
    </row>
    <row r="148" spans="1:7">
      <c r="A148" s="6"/>
      <c r="B148" s="4"/>
      <c r="G148" s="24"/>
    </row>
    <row r="149" spans="1:7">
      <c r="A149" s="6"/>
      <c r="B149" s="4"/>
      <c r="G149" s="24"/>
    </row>
    <row r="150" spans="1:7">
      <c r="A150" s="6"/>
      <c r="B150" s="4"/>
      <c r="G150" s="24"/>
    </row>
    <row r="151" spans="1:7">
      <c r="A151" s="6"/>
      <c r="B151" s="4"/>
      <c r="G151" s="24"/>
    </row>
    <row r="152" spans="1:7">
      <c r="A152" s="6"/>
      <c r="B152" s="4"/>
      <c r="G152" s="24"/>
    </row>
    <row r="153" spans="1:7">
      <c r="A153" s="6"/>
      <c r="B153" s="4"/>
      <c r="G153" s="24"/>
    </row>
    <row r="154" spans="1:7">
      <c r="A154" s="6"/>
      <c r="B154" s="4"/>
      <c r="G154" s="24"/>
    </row>
    <row r="155" spans="1:7">
      <c r="A155" s="6"/>
      <c r="B155" s="4"/>
      <c r="G155" s="24"/>
    </row>
    <row r="156" spans="1:7">
      <c r="A156" s="6"/>
      <c r="B156" s="4"/>
      <c r="G156" s="24"/>
    </row>
    <row r="157" spans="1:7">
      <c r="A157" s="6"/>
      <c r="B157" s="4"/>
      <c r="G157" s="24"/>
    </row>
    <row r="158" spans="1:7">
      <c r="A158" s="6"/>
      <c r="B158" s="4"/>
      <c r="G158" s="24"/>
    </row>
    <row r="159" spans="1:7">
      <c r="A159" s="6"/>
      <c r="B159" s="4"/>
      <c r="G159" s="24"/>
    </row>
    <row r="160" spans="1:7">
      <c r="A160" s="7"/>
      <c r="B160" s="4"/>
      <c r="G160" s="24"/>
    </row>
    <row r="161" spans="1:7">
      <c r="A161" s="7"/>
      <c r="B161" s="4"/>
      <c r="G161" s="24"/>
    </row>
    <row r="162" spans="1:7">
      <c r="A162" s="7"/>
      <c r="B162" s="4"/>
      <c r="G162" s="24"/>
    </row>
    <row r="163" spans="1:7">
      <c r="A163" s="7"/>
      <c r="B163" s="4"/>
      <c r="G163" s="24"/>
    </row>
    <row r="164" spans="1:7">
      <c r="A164" s="8"/>
      <c r="B164" s="4"/>
      <c r="G164" s="24"/>
    </row>
    <row r="165" spans="1:7">
      <c r="A165" s="7"/>
      <c r="B165" s="4"/>
      <c r="G165" s="24"/>
    </row>
    <row r="166" spans="1:7">
      <c r="A166" s="7"/>
      <c r="B166" s="4"/>
      <c r="G166" s="24"/>
    </row>
    <row r="206" spans="4:10">
      <c r="D206" s="35"/>
      <c r="E206" s="35"/>
      <c r="F206" s="35"/>
      <c r="G206" s="35"/>
      <c r="H206" s="35"/>
      <c r="I206" s="35"/>
      <c r="J206" s="35"/>
    </row>
    <row r="207" spans="4:10">
      <c r="D207" s="35"/>
      <c r="E207" s="35"/>
      <c r="F207" s="35"/>
      <c r="G207" s="35"/>
      <c r="H207" s="35"/>
      <c r="I207" s="35"/>
      <c r="J207" s="35"/>
    </row>
    <row r="208" spans="4:10">
      <c r="D208" s="35"/>
      <c r="E208" s="35"/>
      <c r="F208" s="35"/>
      <c r="G208" s="35"/>
      <c r="H208" s="35"/>
      <c r="I208" s="35"/>
      <c r="J208" s="35"/>
    </row>
    <row r="209" spans="4:10">
      <c r="D209" s="35"/>
      <c r="E209" s="35"/>
      <c r="F209" s="35"/>
      <c r="G209" s="35"/>
      <c r="H209" s="35"/>
      <c r="I209" s="35"/>
      <c r="J209" s="35"/>
    </row>
    <row r="210" spans="4:10">
      <c r="D210" s="35"/>
      <c r="E210" s="35"/>
      <c r="F210" s="35"/>
      <c r="G210" s="36"/>
      <c r="H210" s="35"/>
      <c r="I210" s="35"/>
      <c r="J210" s="35"/>
    </row>
    <row r="211" spans="4:10">
      <c r="D211" s="35"/>
      <c r="E211" s="35"/>
      <c r="F211" s="35"/>
      <c r="G211" s="36"/>
      <c r="H211" s="35"/>
      <c r="I211" s="35"/>
      <c r="J211" s="35"/>
    </row>
    <row r="212" spans="4:10">
      <c r="D212" s="35"/>
      <c r="E212" s="35"/>
      <c r="F212" s="35"/>
      <c r="G212" s="36"/>
      <c r="H212" s="35"/>
      <c r="I212" s="35"/>
      <c r="J212" s="35"/>
    </row>
    <row r="213" spans="4:10">
      <c r="D213" s="35"/>
      <c r="E213" s="35"/>
      <c r="F213" s="35"/>
      <c r="G213" s="36"/>
      <c r="H213" s="35"/>
      <c r="I213" s="35"/>
      <c r="J213" s="35"/>
    </row>
    <row r="214" spans="4:10">
      <c r="G214" s="24"/>
    </row>
    <row r="215" spans="4:10">
      <c r="G215" s="24"/>
    </row>
    <row r="216" spans="4:10">
      <c r="G216" s="24"/>
    </row>
    <row r="217" spans="4:10">
      <c r="G217" s="24"/>
    </row>
    <row r="218" spans="4:10">
      <c r="G218" s="24"/>
    </row>
    <row r="219" spans="4:10">
      <c r="G219" s="24"/>
    </row>
    <row r="220" spans="4:10">
      <c r="G220" s="24"/>
    </row>
    <row r="221" spans="4:10">
      <c r="G221" s="24"/>
    </row>
  </sheetData>
  <mergeCells count="1">
    <mergeCell ref="D3:E3"/>
  </mergeCells>
  <conditionalFormatting sqref="R5:R25">
    <cfRule type="expression" dxfId="1" priority="1">
      <formula>R5 &gt; AVERAGE($R$5:$R$25)</formula>
    </cfRule>
  </conditionalFormatting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3" shapeId="5121" r:id="rId3">
          <objectPr defaultSize="0" r:id="rId4">
            <anchor moveWithCells="1">
              <from>
                <xdr:col>21</xdr:col>
                <xdr:colOff>542925</xdr:colOff>
                <xdr:row>0</xdr:row>
                <xdr:rowOff>628650</xdr:rowOff>
              </from>
              <to>
                <xdr:col>26</xdr:col>
                <xdr:colOff>504825</xdr:colOff>
                <xdr:row>1</xdr:row>
                <xdr:rowOff>533400</xdr:rowOff>
              </to>
            </anchor>
          </objectPr>
        </oleObject>
      </mc:Choice>
      <mc:Fallback>
        <oleObject progId="Equation.3" shapeId="5121" r:id="rId3"/>
      </mc:Fallback>
    </mc:AlternateContent>
    <mc:AlternateContent xmlns:mc="http://schemas.openxmlformats.org/markup-compatibility/2006">
      <mc:Choice Requires="x14">
        <oleObject progId="Equation.3" shapeId="5122" r:id="rId5">
          <objectPr defaultSize="0" r:id="rId6">
            <anchor moveWithCells="1">
              <from>
                <xdr:col>22</xdr:col>
                <xdr:colOff>381000</xdr:colOff>
                <xdr:row>1</xdr:row>
                <xdr:rowOff>800100</xdr:rowOff>
              </from>
              <to>
                <xdr:col>27</xdr:col>
                <xdr:colOff>295275</xdr:colOff>
                <xdr:row>3</xdr:row>
                <xdr:rowOff>171450</xdr:rowOff>
              </to>
            </anchor>
          </objectPr>
        </oleObject>
      </mc:Choice>
      <mc:Fallback>
        <oleObject progId="Equation.3" shapeId="5122" r:id="rId5"/>
      </mc:Fallback>
    </mc:AlternateContent>
    <mc:AlternateContent xmlns:mc="http://schemas.openxmlformats.org/markup-compatibility/2006">
      <mc:Choice Requires="x14">
        <oleObject progId="Equation.3" shapeId="5123" r:id="rId7">
          <objectPr defaultSize="0" autoPict="0" r:id="rId8">
            <anchor moveWithCells="1">
              <from>
                <xdr:col>22</xdr:col>
                <xdr:colOff>228600</xdr:colOff>
                <xdr:row>4</xdr:row>
                <xdr:rowOff>171450</xdr:rowOff>
              </from>
              <to>
                <xdr:col>27</xdr:col>
                <xdr:colOff>190500</xdr:colOff>
                <xdr:row>16</xdr:row>
                <xdr:rowOff>57150</xdr:rowOff>
              </to>
            </anchor>
          </objectPr>
        </oleObject>
      </mc:Choice>
      <mc:Fallback>
        <oleObject progId="Equation.3" shapeId="5123" r:id="rId7"/>
      </mc:Fallback>
    </mc:AlternateContent>
    <mc:AlternateContent xmlns:mc="http://schemas.openxmlformats.org/markup-compatibility/2006">
      <mc:Choice Requires="x14">
        <oleObject progId="Equation.3" shapeId="5124" r:id="rId9">
          <objectPr defaultSize="0" autoPict="0" r:id="rId10">
            <anchor moveWithCells="1">
              <from>
                <xdr:col>22</xdr:col>
                <xdr:colOff>295275</xdr:colOff>
                <xdr:row>16</xdr:row>
                <xdr:rowOff>161925</xdr:rowOff>
              </from>
              <to>
                <xdr:col>27</xdr:col>
                <xdr:colOff>257175</xdr:colOff>
                <xdr:row>22</xdr:row>
                <xdr:rowOff>104775</xdr:rowOff>
              </to>
            </anchor>
          </objectPr>
        </oleObject>
      </mc:Choice>
      <mc:Fallback>
        <oleObject progId="Equation.3" shapeId="5124" r:id="rId9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56948-111C-42DF-8AC2-A6D2B07E29D1}">
  <sheetPr codeName="Arkusz3"/>
  <dimension ref="A1:U221"/>
  <sheetViews>
    <sheetView tabSelected="1" topLeftCell="A10" zoomScale="85" zoomScaleNormal="85" workbookViewId="0">
      <selection activeCell="K21" sqref="K21"/>
    </sheetView>
  </sheetViews>
  <sheetFormatPr defaultRowHeight="15"/>
  <cols>
    <col min="1" max="1" width="13.28515625" customWidth="1"/>
    <col min="7" max="7" width="13.28515625" customWidth="1"/>
    <col min="9" max="9" width="14" bestFit="1" customWidth="1"/>
    <col min="11" max="12" width="9.85546875" bestFit="1" customWidth="1"/>
    <col min="15" max="15" width="10" bestFit="1" customWidth="1"/>
    <col min="16" max="16" width="13" bestFit="1" customWidth="1"/>
    <col min="18" max="18" width="12" bestFit="1" customWidth="1"/>
    <col min="19" max="19" width="17.140625" bestFit="1" customWidth="1"/>
    <col min="20" max="20" width="20" bestFit="1" customWidth="1"/>
    <col min="21" max="21" width="12.140625" bestFit="1" customWidth="1"/>
  </cols>
  <sheetData>
    <row r="1" spans="1:21" ht="53.25" customHeight="1">
      <c r="A1" s="1" t="s">
        <v>0</v>
      </c>
    </row>
    <row r="2" spans="1:21" ht="78.75">
      <c r="A2" s="2" t="s">
        <v>1</v>
      </c>
      <c r="F2" t="s">
        <v>57</v>
      </c>
      <c r="G2" s="23" t="s">
        <v>61</v>
      </c>
      <c r="H2" t="s">
        <v>63</v>
      </c>
      <c r="I2" t="s">
        <v>64</v>
      </c>
      <c r="J2" t="s">
        <v>68</v>
      </c>
    </row>
    <row r="3" spans="1:21">
      <c r="A3" s="8">
        <v>14.8</v>
      </c>
      <c r="B3" s="4" t="s">
        <v>2</v>
      </c>
      <c r="C3">
        <v>1</v>
      </c>
      <c r="D3" s="46" t="s">
        <v>60</v>
      </c>
      <c r="E3" s="46"/>
      <c r="F3">
        <f t="shared" ref="F3:F34" si="0">$D$5*C3+$E$5</f>
        <v>15.795454545454543</v>
      </c>
      <c r="G3" s="24">
        <f t="shared" ref="G3:G45" si="1">A3-F3</f>
        <v>-0.99545454545454248</v>
      </c>
      <c r="H3">
        <f>_xll.FOURIER(C3,$G$3:$G$45,TRUE,2,3,6)</f>
        <v>0.95967883830862732</v>
      </c>
      <c r="I3">
        <f>H3+F3</f>
        <v>16.75513338376317</v>
      </c>
      <c r="N3" t="s">
        <v>66</v>
      </c>
      <c r="O3" t="s">
        <v>62</v>
      </c>
      <c r="P3" t="s">
        <v>58</v>
      </c>
      <c r="Q3" t="s">
        <v>59</v>
      </c>
      <c r="R3" t="s">
        <v>65</v>
      </c>
      <c r="S3" t="s">
        <v>67</v>
      </c>
      <c r="T3" t="s">
        <v>69</v>
      </c>
    </row>
    <row r="4" spans="1:21">
      <c r="A4" s="7">
        <v>13.8</v>
      </c>
      <c r="B4" s="4" t="s">
        <v>3</v>
      </c>
      <c r="C4">
        <v>2</v>
      </c>
      <c r="D4" t="s">
        <v>58</v>
      </c>
      <c r="E4" t="s">
        <v>59</v>
      </c>
      <c r="F4">
        <f t="shared" si="0"/>
        <v>15.773301117487161</v>
      </c>
      <c r="G4" s="24">
        <f t="shared" si="1"/>
        <v>-1.9733011174871606</v>
      </c>
      <c r="H4">
        <f t="shared" ref="H4:H57" si="2">_xll.FOURIER(C4,$G$3:$G$45,TRUE,2,3,6)</f>
        <v>-0.26892233114389097</v>
      </c>
      <c r="I4">
        <f t="shared" ref="I4:I57" si="3">H4+F4</f>
        <v>15.50437878634327</v>
      </c>
      <c r="N4">
        <f>O4/((COUNT($G$3:$G$45)/2)-1)</f>
        <v>0</v>
      </c>
      <c r="O4">
        <v>0</v>
      </c>
      <c r="P4">
        <f>a(O4,$G$3:$G$44)</f>
        <v>8.011929930534796E-2</v>
      </c>
      <c r="Q4">
        <f>b(O4,$G$3:$G$44)</f>
        <v>0</v>
      </c>
      <c r="R4">
        <f>(P4^2+Q4^2)</f>
        <v>6.4191021211799301E-3</v>
      </c>
      <c r="S4" s="26" t="str">
        <f>IF(R4&gt;AVERAGE($R$4:$R$107),O4 &amp; ";","")</f>
        <v/>
      </c>
      <c r="T4" s="32"/>
      <c r="U4" s="33"/>
    </row>
    <row r="5" spans="1:21">
      <c r="A5" s="7">
        <v>13.8</v>
      </c>
      <c r="B5" s="4" t="s">
        <v>4</v>
      </c>
      <c r="C5">
        <v>3</v>
      </c>
      <c r="D5">
        <f>SLOPE(A3:A45,C3:C45)</f>
        <v>-2.2153427967381463E-2</v>
      </c>
      <c r="E5">
        <f>INTERCEPT(A3:A45,C3:C45)</f>
        <v>15.817607973421925</v>
      </c>
      <c r="F5">
        <f t="shared" si="0"/>
        <v>15.751147689519781</v>
      </c>
      <c r="G5" s="24">
        <f t="shared" si="1"/>
        <v>-1.9511476895197806</v>
      </c>
      <c r="H5">
        <f t="shared" si="2"/>
        <v>-1.3540184727037918</v>
      </c>
      <c r="I5">
        <f t="shared" si="3"/>
        <v>14.397129216815989</v>
      </c>
      <c r="N5">
        <f t="shared" ref="N5:N25" si="4">O5/((COUNT($G$3:$G$45)/2)-1)</f>
        <v>4.878048780487805E-2</v>
      </c>
      <c r="O5">
        <v>1</v>
      </c>
      <c r="P5">
        <f t="shared" ref="P4:P22" si="5">a(O5,$G$3:$G$44)</f>
        <v>-4.9256560949981584E-2</v>
      </c>
      <c r="Q5">
        <f t="shared" ref="Q5:Q25" si="6">b(O5,$G$3:$G$44)</f>
        <v>0.20535429424273002</v>
      </c>
      <c r="R5">
        <f t="shared" ref="R5:R25" si="7">(P5^2+Q5^2)</f>
        <v>4.4596594960548991E-2</v>
      </c>
      <c r="S5" s="26" t="str">
        <f t="shared" ref="S5:S25" si="8">IF(R5&gt;AVERAGE($R$4:$R$107),O5 &amp; ";","")</f>
        <v/>
      </c>
      <c r="T5" s="32">
        <f>R5/(2*_xlfn.VAR.P($G$3:$G$44))</f>
        <v>2.27187076323262E-3</v>
      </c>
    </row>
    <row r="6" spans="1:21">
      <c r="A6" s="7">
        <v>12.4</v>
      </c>
      <c r="B6" s="4" t="s">
        <v>5</v>
      </c>
      <c r="C6">
        <v>4</v>
      </c>
      <c r="F6">
        <f t="shared" si="0"/>
        <v>15.728994261552399</v>
      </c>
      <c r="G6" s="24">
        <f t="shared" si="1"/>
        <v>-3.3289942615523991</v>
      </c>
      <c r="H6">
        <f t="shared" si="2"/>
        <v>-1.472271782254835</v>
      </c>
      <c r="I6">
        <f t="shared" si="3"/>
        <v>14.256722479297565</v>
      </c>
      <c r="N6">
        <f t="shared" si="4"/>
        <v>9.7560975609756101E-2</v>
      </c>
      <c r="O6">
        <v>2</v>
      </c>
      <c r="P6">
        <f t="shared" si="5"/>
        <v>0.42370585717084147</v>
      </c>
      <c r="Q6">
        <f t="shared" si="6"/>
        <v>-1.669622434819773</v>
      </c>
      <c r="R6">
        <f t="shared" si="7"/>
        <v>2.9671657282543848</v>
      </c>
      <c r="S6" s="26" t="str">
        <f t="shared" si="8"/>
        <v>2;</v>
      </c>
      <c r="T6" s="32">
        <f t="shared" ref="T6:T25" si="9">R6/(2*_xlfn.VAR.P($G$3:$G$44))</f>
        <v>0.15115542057975942</v>
      </c>
    </row>
    <row r="7" spans="1:21">
      <c r="A7" s="8">
        <v>17.2</v>
      </c>
      <c r="B7" s="4" t="s">
        <v>6</v>
      </c>
      <c r="C7">
        <v>5</v>
      </c>
      <c r="F7">
        <f t="shared" si="0"/>
        <v>15.706840833585018</v>
      </c>
      <c r="G7" s="24">
        <f t="shared" si="1"/>
        <v>1.4931591664149817</v>
      </c>
      <c r="H7">
        <f t="shared" si="2"/>
        <v>-0.53440235466578101</v>
      </c>
      <c r="I7">
        <f t="shared" si="3"/>
        <v>15.172438478919236</v>
      </c>
      <c r="N7">
        <f t="shared" si="4"/>
        <v>0.14634146341463414</v>
      </c>
      <c r="O7">
        <v>3</v>
      </c>
      <c r="P7">
        <f t="shared" si="5"/>
        <v>0.88437497870920101</v>
      </c>
      <c r="Q7">
        <f t="shared" si="6"/>
        <v>1.3265657166605647</v>
      </c>
      <c r="R7">
        <f t="shared" si="7"/>
        <v>2.5418957035860572</v>
      </c>
      <c r="S7" s="26" t="str">
        <f t="shared" si="8"/>
        <v>3;</v>
      </c>
      <c r="T7" s="32">
        <f t="shared" si="9"/>
        <v>0.12949101915229908</v>
      </c>
    </row>
    <row r="8" spans="1:21">
      <c r="A8" s="8">
        <v>17.8</v>
      </c>
      <c r="B8" s="4" t="s">
        <v>7</v>
      </c>
      <c r="C8">
        <v>6</v>
      </c>
      <c r="F8">
        <f t="shared" si="0"/>
        <v>15.684687405617636</v>
      </c>
      <c r="G8" s="24">
        <f t="shared" si="1"/>
        <v>2.115312594382365</v>
      </c>
      <c r="H8">
        <f t="shared" si="2"/>
        <v>0.78307894207973128</v>
      </c>
      <c r="I8">
        <f t="shared" si="3"/>
        <v>16.467766347697367</v>
      </c>
      <c r="N8">
        <f t="shared" si="4"/>
        <v>0.1951219512195122</v>
      </c>
      <c r="O8">
        <v>4</v>
      </c>
      <c r="P8">
        <f t="shared" si="5"/>
        <v>-1.2441771084340536</v>
      </c>
      <c r="Q8">
        <f t="shared" si="6"/>
        <v>8.0311677364761663E-2</v>
      </c>
      <c r="R8">
        <f t="shared" si="7"/>
        <v>1.5544266426724644</v>
      </c>
      <c r="S8" s="26" t="str">
        <f t="shared" si="8"/>
        <v>4;</v>
      </c>
      <c r="T8" s="32">
        <f t="shared" si="9"/>
        <v>7.9186683337627142E-2</v>
      </c>
    </row>
    <row r="9" spans="1:21">
      <c r="A9" s="8">
        <v>19.2</v>
      </c>
      <c r="B9" s="4" t="s">
        <v>8</v>
      </c>
      <c r="C9">
        <v>7</v>
      </c>
      <c r="F9">
        <f t="shared" si="0"/>
        <v>15.662533977650256</v>
      </c>
      <c r="G9" s="24">
        <f t="shared" si="1"/>
        <v>3.5374660223497436</v>
      </c>
      <c r="H9">
        <f t="shared" si="2"/>
        <v>1.5593710093265574</v>
      </c>
      <c r="I9">
        <f t="shared" si="3"/>
        <v>17.221904986976813</v>
      </c>
      <c r="N9">
        <f t="shared" si="4"/>
        <v>0.24390243902439024</v>
      </c>
      <c r="O9">
        <v>5</v>
      </c>
      <c r="P9">
        <f t="shared" si="5"/>
        <v>-1.5906388465861585</v>
      </c>
      <c r="Q9">
        <f t="shared" si="6"/>
        <v>-0.16570991970488352</v>
      </c>
      <c r="R9">
        <f t="shared" si="7"/>
        <v>2.5575917177575436</v>
      </c>
      <c r="S9" s="26" t="str">
        <f t="shared" si="8"/>
        <v>5;</v>
      </c>
      <c r="T9" s="32">
        <f t="shared" si="9"/>
        <v>0.13029061642484935</v>
      </c>
    </row>
    <row r="10" spans="1:21">
      <c r="A10" s="7">
        <v>20.6</v>
      </c>
      <c r="B10" s="4" t="s">
        <v>9</v>
      </c>
      <c r="C10">
        <v>8</v>
      </c>
      <c r="F10">
        <f t="shared" si="0"/>
        <v>15.640380549682874</v>
      </c>
      <c r="G10" s="24">
        <f t="shared" si="1"/>
        <v>4.9596194503171276</v>
      </c>
      <c r="H10">
        <f t="shared" si="2"/>
        <v>1.3190006282777818</v>
      </c>
      <c r="I10">
        <f t="shared" si="3"/>
        <v>16.959381177960655</v>
      </c>
      <c r="N10">
        <f t="shared" si="4"/>
        <v>0.29268292682926828</v>
      </c>
      <c r="O10">
        <v>6</v>
      </c>
      <c r="P10">
        <f t="shared" si="5"/>
        <v>0.5427046075528148</v>
      </c>
      <c r="Q10">
        <f t="shared" si="6"/>
        <v>1.7216624196163961</v>
      </c>
      <c r="R10">
        <f t="shared" si="7"/>
        <v>3.2586497781784383</v>
      </c>
      <c r="S10" s="26" t="str">
        <f t="shared" si="8"/>
        <v>6;</v>
      </c>
      <c r="T10" s="32">
        <f t="shared" si="9"/>
        <v>0.16600440381619042</v>
      </c>
    </row>
    <row r="11" spans="1:21">
      <c r="A11" s="8">
        <v>15.6</v>
      </c>
      <c r="B11" s="4" t="s">
        <v>10</v>
      </c>
      <c r="C11">
        <v>9</v>
      </c>
      <c r="F11">
        <f t="shared" si="0"/>
        <v>15.618227121715492</v>
      </c>
      <c r="G11" s="24">
        <f t="shared" si="1"/>
        <v>-1.8227121715492345E-2</v>
      </c>
      <c r="H11">
        <f t="shared" si="2"/>
        <v>0.38499055697763679</v>
      </c>
      <c r="I11">
        <f t="shared" si="3"/>
        <v>16.003217678693129</v>
      </c>
      <c r="N11">
        <f t="shared" si="4"/>
        <v>0.34146341463414637</v>
      </c>
      <c r="O11">
        <v>7</v>
      </c>
      <c r="P11">
        <f t="shared" si="5"/>
        <v>-0.40952460728036605</v>
      </c>
      <c r="Q11">
        <f t="shared" si="6"/>
        <v>0.58405818987214275</v>
      </c>
      <c r="R11">
        <f t="shared" si="7"/>
        <v>0.50883437312486202</v>
      </c>
      <c r="S11" s="26" t="str">
        <f t="shared" si="8"/>
        <v/>
      </c>
      <c r="T11" s="32">
        <f t="shared" si="9"/>
        <v>2.5921394596443905E-2</v>
      </c>
    </row>
    <row r="12" spans="1:21">
      <c r="A12" s="8">
        <v>10.9</v>
      </c>
      <c r="B12" s="4" t="s">
        <v>11</v>
      </c>
      <c r="C12">
        <v>10</v>
      </c>
      <c r="F12">
        <f t="shared" si="0"/>
        <v>15.59607369374811</v>
      </c>
      <c r="G12" s="24">
        <f t="shared" si="1"/>
        <v>-4.6960736937481098</v>
      </c>
      <c r="H12">
        <f t="shared" si="2"/>
        <v>-0.36316128789223923</v>
      </c>
      <c r="I12">
        <f t="shared" si="3"/>
        <v>15.23291240585587</v>
      </c>
      <c r="N12">
        <f t="shared" si="4"/>
        <v>0.3902439024390244</v>
      </c>
      <c r="O12">
        <v>8</v>
      </c>
      <c r="P12">
        <f t="shared" si="5"/>
        <v>-0.13896342774685649</v>
      </c>
      <c r="Q12">
        <f t="shared" si="6"/>
        <v>-0.4426347888826897</v>
      </c>
      <c r="R12">
        <f t="shared" si="7"/>
        <v>0.21523639058037911</v>
      </c>
      <c r="S12" s="26" t="str">
        <f t="shared" si="8"/>
        <v/>
      </c>
      <c r="T12" s="32">
        <f t="shared" si="9"/>
        <v>1.0964721933946965E-2</v>
      </c>
    </row>
    <row r="13" spans="1:21">
      <c r="A13" s="8">
        <v>15.4</v>
      </c>
      <c r="B13" s="4" t="s">
        <v>12</v>
      </c>
      <c r="C13">
        <v>11</v>
      </c>
      <c r="F13">
        <f t="shared" si="0"/>
        <v>15.573920265780728</v>
      </c>
      <c r="G13" s="24">
        <f t="shared" si="1"/>
        <v>-0.17392026578072795</v>
      </c>
      <c r="H13">
        <f t="shared" si="2"/>
        <v>-0.15215144993968463</v>
      </c>
      <c r="I13">
        <f t="shared" si="3"/>
        <v>15.421768815841043</v>
      </c>
      <c r="N13">
        <f t="shared" si="4"/>
        <v>0.43902439024390244</v>
      </c>
      <c r="O13">
        <v>9</v>
      </c>
      <c r="P13">
        <f t="shared" si="5"/>
        <v>-0.15241531863110758</v>
      </c>
      <c r="Q13">
        <f t="shared" si="6"/>
        <v>-0.29720784083387591</v>
      </c>
      <c r="R13">
        <f t="shared" si="7"/>
        <v>0.11156293000655657</v>
      </c>
      <c r="S13" s="26" t="str">
        <f t="shared" si="8"/>
        <v/>
      </c>
      <c r="T13" s="32">
        <f t="shared" si="9"/>
        <v>5.6833163869724947E-3</v>
      </c>
    </row>
    <row r="14" spans="1:21">
      <c r="A14" s="8">
        <v>15.9</v>
      </c>
      <c r="B14" s="4" t="s">
        <v>13</v>
      </c>
      <c r="C14">
        <v>12</v>
      </c>
      <c r="F14">
        <f t="shared" si="0"/>
        <v>15.551766837813348</v>
      </c>
      <c r="G14" s="24">
        <f t="shared" si="1"/>
        <v>0.34823316218665212</v>
      </c>
      <c r="H14">
        <f t="shared" si="2"/>
        <v>1.0839600692145714</v>
      </c>
      <c r="I14">
        <f t="shared" si="3"/>
        <v>16.635726907027919</v>
      </c>
      <c r="N14">
        <f t="shared" si="4"/>
        <v>0.48780487804878048</v>
      </c>
      <c r="O14">
        <v>10</v>
      </c>
      <c r="P14">
        <f t="shared" si="5"/>
        <v>-0.57846214857465228</v>
      </c>
      <c r="Q14">
        <f t="shared" si="6"/>
        <v>0.34230337394340488</v>
      </c>
      <c r="R14">
        <f t="shared" si="7"/>
        <v>0.45179005714664155</v>
      </c>
      <c r="S14" s="26" t="str">
        <f t="shared" si="8"/>
        <v/>
      </c>
      <c r="T14" s="32">
        <f t="shared" si="9"/>
        <v>2.3015403370114478E-2</v>
      </c>
    </row>
    <row r="15" spans="1:21">
      <c r="A15" s="8">
        <v>15.5</v>
      </c>
      <c r="B15" s="4" t="s">
        <v>14</v>
      </c>
      <c r="C15">
        <v>13</v>
      </c>
      <c r="F15">
        <f t="shared" si="0"/>
        <v>15.529613409845966</v>
      </c>
      <c r="G15" s="24">
        <f t="shared" si="1"/>
        <v>-2.9613409845966387E-2</v>
      </c>
      <c r="H15">
        <f t="shared" si="2"/>
        <v>2.6055817106315211</v>
      </c>
      <c r="I15">
        <f t="shared" si="3"/>
        <v>18.135195120477487</v>
      </c>
      <c r="N15">
        <f t="shared" si="4"/>
        <v>0.53658536585365857</v>
      </c>
      <c r="O15">
        <v>11</v>
      </c>
      <c r="P15">
        <f t="shared" si="5"/>
        <v>6.4996303668595656E-2</v>
      </c>
      <c r="Q15">
        <f t="shared" si="6"/>
        <v>0.15476160805056935</v>
      </c>
      <c r="R15">
        <f t="shared" si="7"/>
        <v>2.8175674816978354E-2</v>
      </c>
      <c r="S15" s="26" t="str">
        <f t="shared" si="8"/>
        <v/>
      </c>
      <c r="T15" s="32">
        <f t="shared" si="9"/>
        <v>1.4353448263857034E-3</v>
      </c>
    </row>
    <row r="16" spans="1:21">
      <c r="A16" s="8">
        <v>21.6</v>
      </c>
      <c r="B16" s="4" t="s">
        <v>15</v>
      </c>
      <c r="C16">
        <v>14</v>
      </c>
      <c r="F16">
        <f t="shared" si="0"/>
        <v>15.507459981878585</v>
      </c>
      <c r="G16" s="24">
        <f t="shared" si="1"/>
        <v>6.0925400181214169</v>
      </c>
      <c r="H16">
        <f t="shared" si="2"/>
        <v>3.3535451649512935</v>
      </c>
      <c r="I16">
        <f t="shared" si="3"/>
        <v>18.861005146829878</v>
      </c>
      <c r="N16">
        <f t="shared" si="4"/>
        <v>0.58536585365853655</v>
      </c>
      <c r="O16">
        <v>12</v>
      </c>
      <c r="P16">
        <f t="shared" si="5"/>
        <v>-0.83085658083704994</v>
      </c>
      <c r="Q16">
        <f t="shared" si="6"/>
        <v>-0.29257526912707799</v>
      </c>
      <c r="R16">
        <f t="shared" si="7"/>
        <v>0.77592294602501544</v>
      </c>
      <c r="S16" s="26" t="str">
        <f t="shared" si="8"/>
        <v/>
      </c>
      <c r="T16" s="32">
        <f t="shared" si="9"/>
        <v>3.9527606472085121E-2</v>
      </c>
    </row>
    <row r="17" spans="1:20">
      <c r="A17" s="8">
        <v>15.8</v>
      </c>
      <c r="B17" s="4" t="s">
        <v>16</v>
      </c>
      <c r="C17">
        <v>15</v>
      </c>
      <c r="F17">
        <f t="shared" si="0"/>
        <v>15.485306553911203</v>
      </c>
      <c r="G17" s="24">
        <f t="shared" si="1"/>
        <v>0.31469344608879801</v>
      </c>
      <c r="H17">
        <f t="shared" si="2"/>
        <v>2.6794358857988034</v>
      </c>
      <c r="I17">
        <f t="shared" si="3"/>
        <v>18.164742439710007</v>
      </c>
      <c r="N17">
        <f t="shared" si="4"/>
        <v>0.63414634146341464</v>
      </c>
      <c r="O17">
        <v>13</v>
      </c>
      <c r="P17">
        <f t="shared" si="5"/>
        <v>0.77694392365628406</v>
      </c>
      <c r="Q17">
        <f t="shared" si="6"/>
        <v>-0.58610761017919211</v>
      </c>
      <c r="R17">
        <f t="shared" si="7"/>
        <v>0.94716399121638561</v>
      </c>
      <c r="S17" s="26" t="str">
        <f t="shared" si="8"/>
        <v>13;</v>
      </c>
      <c r="T17" s="32">
        <f t="shared" si="9"/>
        <v>4.8251086916720407E-2</v>
      </c>
    </row>
    <row r="18" spans="1:20">
      <c r="A18" s="8">
        <v>17.5</v>
      </c>
      <c r="B18" s="4" t="s">
        <v>17</v>
      </c>
      <c r="C18">
        <v>16</v>
      </c>
      <c r="F18">
        <f t="shared" si="0"/>
        <v>15.463153125943821</v>
      </c>
      <c r="G18" s="24">
        <f t="shared" si="1"/>
        <v>2.0368468740561791</v>
      </c>
      <c r="H18">
        <f t="shared" si="2"/>
        <v>0.80241281882040882</v>
      </c>
      <c r="I18">
        <f t="shared" si="3"/>
        <v>16.26556594476423</v>
      </c>
      <c r="N18">
        <f t="shared" si="4"/>
        <v>0.68292682926829273</v>
      </c>
      <c r="O18">
        <v>14</v>
      </c>
      <c r="P18">
        <f t="shared" si="5"/>
        <v>-1.5716360144124319</v>
      </c>
      <c r="Q18">
        <f t="shared" si="6"/>
        <v>-0.20641800060404891</v>
      </c>
      <c r="R18">
        <f t="shared" si="7"/>
        <v>2.5126481527715674</v>
      </c>
      <c r="S18" s="26" t="str">
        <f t="shared" si="8"/>
        <v>14;</v>
      </c>
      <c r="T18" s="32">
        <f t="shared" si="9"/>
        <v>0.12800107007321848</v>
      </c>
    </row>
    <row r="19" spans="1:20">
      <c r="A19" s="8">
        <v>17.5</v>
      </c>
      <c r="B19" s="4" t="s">
        <v>18</v>
      </c>
      <c r="C19">
        <v>17</v>
      </c>
      <c r="F19">
        <f t="shared" si="0"/>
        <v>15.440999697976441</v>
      </c>
      <c r="G19" s="24">
        <f t="shared" si="1"/>
        <v>2.0590003020235592</v>
      </c>
      <c r="H19">
        <f t="shared" si="2"/>
        <v>-1.3320716407742046</v>
      </c>
      <c r="I19">
        <f t="shared" si="3"/>
        <v>14.108928057202236</v>
      </c>
      <c r="N19">
        <f t="shared" si="4"/>
        <v>0.73170731707317072</v>
      </c>
      <c r="O19">
        <v>15</v>
      </c>
      <c r="P19">
        <f t="shared" si="5"/>
        <v>3.7102234003749998E-2</v>
      </c>
      <c r="Q19">
        <f t="shared" si="6"/>
        <v>0.29424526521831235</v>
      </c>
      <c r="R19">
        <f t="shared" si="7"/>
        <v>8.7956851871463987E-2</v>
      </c>
      <c r="S19" s="26" t="str">
        <f t="shared" si="8"/>
        <v/>
      </c>
      <c r="T19" s="32">
        <f t="shared" si="9"/>
        <v>4.480759133506311E-3</v>
      </c>
    </row>
    <row r="20" spans="1:20">
      <c r="A20" s="8">
        <v>12.3</v>
      </c>
      <c r="B20" s="4" t="s">
        <v>19</v>
      </c>
      <c r="C20">
        <v>18</v>
      </c>
      <c r="F20">
        <f t="shared" si="0"/>
        <v>15.418846270009059</v>
      </c>
      <c r="G20" s="24">
        <f t="shared" si="1"/>
        <v>-3.1188462700090582</v>
      </c>
      <c r="H20">
        <f t="shared" si="2"/>
        <v>-2.6901242463582009</v>
      </c>
      <c r="I20">
        <f t="shared" si="3"/>
        <v>12.728722023650858</v>
      </c>
      <c r="N20">
        <f t="shared" si="4"/>
        <v>0.78048780487804881</v>
      </c>
      <c r="O20">
        <v>16</v>
      </c>
      <c r="P20">
        <f t="shared" si="5"/>
        <v>0.23883392396622033</v>
      </c>
      <c r="Q20">
        <f t="shared" si="6"/>
        <v>-0.43863968997783553</v>
      </c>
      <c r="R20">
        <f t="shared" si="7"/>
        <v>0.24944642086095398</v>
      </c>
      <c r="S20" s="26" t="str">
        <f t="shared" si="8"/>
        <v/>
      </c>
      <c r="T20" s="32">
        <f t="shared" si="9"/>
        <v>1.2707473094041003E-2</v>
      </c>
    </row>
    <row r="21" spans="1:20">
      <c r="A21" s="8">
        <v>9.1999999999999993</v>
      </c>
      <c r="B21" s="4" t="s">
        <v>20</v>
      </c>
      <c r="C21">
        <v>19</v>
      </c>
      <c r="F21">
        <f t="shared" si="0"/>
        <v>15.396692842041677</v>
      </c>
      <c r="G21" s="24">
        <f t="shared" si="1"/>
        <v>-6.1966928420416778</v>
      </c>
      <c r="H21">
        <f t="shared" si="2"/>
        <v>-2.8295471870541484</v>
      </c>
      <c r="I21">
        <f t="shared" si="3"/>
        <v>12.567145654987529</v>
      </c>
      <c r="N21">
        <f t="shared" si="4"/>
        <v>0.82926829268292679</v>
      </c>
      <c r="O21">
        <v>17</v>
      </c>
      <c r="P21">
        <f t="shared" si="5"/>
        <v>0.24237943716014743</v>
      </c>
      <c r="Q21">
        <f t="shared" si="6"/>
        <v>-0.16289549273261986</v>
      </c>
      <c r="R21">
        <f t="shared" si="7"/>
        <v>8.5282733110672859E-2</v>
      </c>
      <c r="S21" s="26" t="str">
        <f t="shared" si="8"/>
        <v/>
      </c>
      <c r="T21" s="32">
        <f t="shared" si="9"/>
        <v>4.3445323153954779E-3</v>
      </c>
    </row>
    <row r="22" spans="1:20">
      <c r="A22" s="8">
        <v>16.7</v>
      </c>
      <c r="B22" s="4" t="s">
        <v>21</v>
      </c>
      <c r="C22">
        <v>20</v>
      </c>
      <c r="F22">
        <f t="shared" si="0"/>
        <v>15.374539414074295</v>
      </c>
      <c r="G22" s="24">
        <f t="shared" si="1"/>
        <v>1.325460585925704</v>
      </c>
      <c r="H22">
        <f t="shared" si="2"/>
        <v>-2.1418158547192996</v>
      </c>
      <c r="I22">
        <f t="shared" si="3"/>
        <v>13.232723559354996</v>
      </c>
      <c r="N22">
        <f t="shared" si="4"/>
        <v>0.87804878048780488</v>
      </c>
      <c r="O22">
        <v>18</v>
      </c>
      <c r="P22">
        <f t="shared" si="5"/>
        <v>-0.14134780182614412</v>
      </c>
      <c r="Q22">
        <f t="shared" si="6"/>
        <v>3.2611228650918603E-2</v>
      </c>
      <c r="R22">
        <f t="shared" si="7"/>
        <v>2.1042693315205405E-2</v>
      </c>
      <c r="S22" s="26" t="str">
        <f t="shared" si="8"/>
        <v/>
      </c>
      <c r="T22" s="32">
        <f t="shared" si="9"/>
        <v>1.0719715208027882E-3</v>
      </c>
    </row>
    <row r="23" spans="1:20">
      <c r="A23" s="8">
        <v>13.1</v>
      </c>
      <c r="B23" s="4" t="s">
        <v>22</v>
      </c>
      <c r="C23">
        <v>21</v>
      </c>
      <c r="F23">
        <f t="shared" si="0"/>
        <v>15.352385986106913</v>
      </c>
      <c r="G23" s="24">
        <f t="shared" si="1"/>
        <v>-2.2523859861069138</v>
      </c>
      <c r="H23">
        <f t="shared" si="2"/>
        <v>-1.4939194839594867</v>
      </c>
      <c r="I23">
        <f t="shared" si="3"/>
        <v>13.858466502147426</v>
      </c>
      <c r="N23">
        <f t="shared" si="4"/>
        <v>0.92682926829268297</v>
      </c>
      <c r="O23">
        <v>19</v>
      </c>
      <c r="P23">
        <f>a(O23,$G$3:$G$44)</f>
        <v>0.67031928364174953</v>
      </c>
      <c r="Q23">
        <f t="shared" si="6"/>
        <v>-4.1053740443739335E-2</v>
      </c>
      <c r="R23">
        <f t="shared" si="7"/>
        <v>0.45101335162641021</v>
      </c>
      <c r="S23" s="26" t="str">
        <f t="shared" si="8"/>
        <v/>
      </c>
      <c r="T23" s="32">
        <f t="shared" si="9"/>
        <v>2.2975835897202791E-2</v>
      </c>
    </row>
    <row r="24" spans="1:20">
      <c r="A24" s="8">
        <v>10.8</v>
      </c>
      <c r="B24" s="4" t="s">
        <v>23</v>
      </c>
      <c r="C24">
        <v>22</v>
      </c>
      <c r="F24">
        <f t="shared" si="0"/>
        <v>15.330232558139533</v>
      </c>
      <c r="G24" s="24">
        <f t="shared" si="1"/>
        <v>-4.5302325581395326</v>
      </c>
      <c r="H24">
        <f t="shared" si="2"/>
        <v>-1.5411126453520521</v>
      </c>
      <c r="I24">
        <f t="shared" si="3"/>
        <v>13.789119912787481</v>
      </c>
      <c r="N24">
        <f t="shared" si="4"/>
        <v>0.97560975609756095</v>
      </c>
      <c r="O24">
        <v>20</v>
      </c>
      <c r="P24">
        <f t="shared" ref="P24:P25" si="10">a(O24,$G$3:$G$44)</f>
        <v>-0.38644376125712732</v>
      </c>
      <c r="Q24">
        <f t="shared" si="6"/>
        <v>-0.27689280791882454</v>
      </c>
      <c r="R24">
        <f t="shared" si="7"/>
        <v>0.22600840769172667</v>
      </c>
      <c r="S24" s="26" t="str">
        <f t="shared" si="8"/>
        <v/>
      </c>
      <c r="T24" s="32">
        <f t="shared" si="9"/>
        <v>1.1513477522977046E-2</v>
      </c>
    </row>
    <row r="25" spans="1:20">
      <c r="A25" s="8">
        <v>16.399999999999999</v>
      </c>
      <c r="B25" s="4" t="s">
        <v>24</v>
      </c>
      <c r="C25">
        <v>23</v>
      </c>
      <c r="F25">
        <f t="shared" si="0"/>
        <v>15.308079130172151</v>
      </c>
      <c r="G25" s="24">
        <f t="shared" si="1"/>
        <v>1.0919208698278471</v>
      </c>
      <c r="H25">
        <f t="shared" si="2"/>
        <v>-2.2169957076247142</v>
      </c>
      <c r="I25">
        <f t="shared" si="3"/>
        <v>13.091083422547438</v>
      </c>
      <c r="N25">
        <f t="shared" si="4"/>
        <v>1.024390243902439</v>
      </c>
      <c r="O25">
        <v>21</v>
      </c>
      <c r="P25">
        <f t="shared" si="10"/>
        <v>1.1851515451266148E-15</v>
      </c>
      <c r="Q25">
        <f t="shared" si="6"/>
        <v>-0.12939947649249964</v>
      </c>
      <c r="R25">
        <f t="shared" si="7"/>
        <v>1.6744224516532968E-2</v>
      </c>
      <c r="S25" s="26" t="str">
        <f t="shared" si="8"/>
        <v/>
      </c>
      <c r="T25" s="32">
        <f>R25/_xlfn.VAR.P($G$3:$G$44)</f>
        <v>1.7059918662295026E-3</v>
      </c>
    </row>
    <row r="26" spans="1:20">
      <c r="A26" s="8">
        <v>13</v>
      </c>
      <c r="B26" s="4" t="s">
        <v>25</v>
      </c>
      <c r="C26">
        <v>24</v>
      </c>
      <c r="F26">
        <f t="shared" si="0"/>
        <v>15.28592570220477</v>
      </c>
      <c r="G26" s="24">
        <f t="shared" si="1"/>
        <v>-2.2859257022047696</v>
      </c>
      <c r="H26">
        <f t="shared" si="2"/>
        <v>-2.7757077772083596</v>
      </c>
      <c r="I26">
        <f t="shared" si="3"/>
        <v>12.510217924996411</v>
      </c>
      <c r="S26" s="26"/>
      <c r="T26" s="32"/>
    </row>
    <row r="27" spans="1:20">
      <c r="A27" s="8">
        <v>11</v>
      </c>
      <c r="B27" s="4" t="s">
        <v>26</v>
      </c>
      <c r="C27">
        <v>25</v>
      </c>
      <c r="F27">
        <f t="shared" si="0"/>
        <v>15.263772274237388</v>
      </c>
      <c r="G27" s="24">
        <f t="shared" si="1"/>
        <v>-4.2637722742373878</v>
      </c>
      <c r="H27">
        <f t="shared" si="2"/>
        <v>-2.3578947983227998</v>
      </c>
      <c r="I27">
        <f t="shared" si="3"/>
        <v>12.905877475914588</v>
      </c>
      <c r="S27" s="26"/>
      <c r="T27" s="52">
        <f>SUM(T5:T25)</f>
        <v>1.0000000000000004</v>
      </c>
    </row>
    <row r="28" spans="1:20">
      <c r="A28" s="8">
        <v>12</v>
      </c>
      <c r="B28" s="4" t="s">
        <v>27</v>
      </c>
      <c r="C28">
        <v>26</v>
      </c>
      <c r="F28">
        <f t="shared" si="0"/>
        <v>15.241618846270008</v>
      </c>
      <c r="G28" s="24">
        <f t="shared" si="1"/>
        <v>-3.2416188462700077</v>
      </c>
      <c r="H28">
        <f t="shared" si="2"/>
        <v>-0.66894004827646847</v>
      </c>
      <c r="I28">
        <f t="shared" si="3"/>
        <v>14.572678797993539</v>
      </c>
      <c r="S28" s="26"/>
      <c r="T28" s="32"/>
    </row>
    <row r="29" spans="1:20">
      <c r="A29" s="8">
        <v>17.5</v>
      </c>
      <c r="B29" s="4" t="s">
        <v>28</v>
      </c>
      <c r="C29">
        <v>27</v>
      </c>
      <c r="F29">
        <f t="shared" si="0"/>
        <v>15.219465418302626</v>
      </c>
      <c r="G29" s="24">
        <f t="shared" si="1"/>
        <v>2.2805345816973741</v>
      </c>
      <c r="H29">
        <f t="shared" si="2"/>
        <v>1.7281307263418626</v>
      </c>
      <c r="I29">
        <f t="shared" si="3"/>
        <v>16.947596144644489</v>
      </c>
      <c r="S29" s="26"/>
      <c r="T29" s="32"/>
    </row>
    <row r="30" spans="1:20">
      <c r="A30" s="8">
        <v>17.2</v>
      </c>
      <c r="B30" s="4" t="s">
        <v>29</v>
      </c>
      <c r="C30">
        <v>28</v>
      </c>
      <c r="F30">
        <f t="shared" si="0"/>
        <v>15.197311990335244</v>
      </c>
      <c r="G30" s="24">
        <f t="shared" si="1"/>
        <v>2.0026880096647552</v>
      </c>
      <c r="H30">
        <f t="shared" si="2"/>
        <v>3.7286733932956824</v>
      </c>
      <c r="I30">
        <f t="shared" si="3"/>
        <v>18.925985383630927</v>
      </c>
      <c r="S30" s="26"/>
      <c r="T30" s="32"/>
    </row>
    <row r="31" spans="1:20">
      <c r="A31" s="9">
        <v>22.1</v>
      </c>
      <c r="B31" s="4" t="s">
        <v>30</v>
      </c>
      <c r="C31">
        <v>29</v>
      </c>
      <c r="F31">
        <f t="shared" si="0"/>
        <v>15.175158562367862</v>
      </c>
      <c r="G31" s="24">
        <f t="shared" si="1"/>
        <v>6.9248414376321392</v>
      </c>
      <c r="H31">
        <f t="shared" si="2"/>
        <v>4.3977205686851883</v>
      </c>
      <c r="I31">
        <f t="shared" si="3"/>
        <v>19.57287913105305</v>
      </c>
      <c r="S31" s="26"/>
      <c r="T31" s="32"/>
    </row>
    <row r="32" spans="1:20">
      <c r="A32" s="10">
        <v>22.5</v>
      </c>
      <c r="B32" s="4" t="s">
        <v>31</v>
      </c>
      <c r="C32">
        <v>30</v>
      </c>
      <c r="F32">
        <f t="shared" si="0"/>
        <v>15.15300513440048</v>
      </c>
      <c r="G32" s="24">
        <f t="shared" si="1"/>
        <v>7.3469948655995196</v>
      </c>
      <c r="H32">
        <f t="shared" si="2"/>
        <v>3.5771818335451022</v>
      </c>
      <c r="I32">
        <f t="shared" si="3"/>
        <v>18.730186967945581</v>
      </c>
      <c r="S32" s="26"/>
      <c r="T32" s="32"/>
    </row>
    <row r="33" spans="1:20">
      <c r="A33" s="11">
        <v>17.899999999999999</v>
      </c>
      <c r="B33" s="4" t="s">
        <v>32</v>
      </c>
      <c r="C33">
        <v>31</v>
      </c>
      <c r="F33">
        <f t="shared" si="0"/>
        <v>15.1308517064331</v>
      </c>
      <c r="G33" s="24">
        <f t="shared" si="1"/>
        <v>2.7691482935668983</v>
      </c>
      <c r="H33">
        <f t="shared" si="2"/>
        <v>1.9614805055554074</v>
      </c>
      <c r="I33">
        <f t="shared" si="3"/>
        <v>17.092332211988509</v>
      </c>
      <c r="S33" s="26"/>
      <c r="T33" s="32"/>
    </row>
    <row r="34" spans="1:20">
      <c r="A34" s="12">
        <v>14.7</v>
      </c>
      <c r="B34" s="4" t="s">
        <v>33</v>
      </c>
      <c r="C34">
        <v>32</v>
      </c>
      <c r="F34">
        <f t="shared" si="0"/>
        <v>15.108698278465718</v>
      </c>
      <c r="G34" s="24">
        <f t="shared" si="1"/>
        <v>-0.40869827846571916</v>
      </c>
      <c r="H34">
        <f t="shared" si="2"/>
        <v>0.59241065357095712</v>
      </c>
      <c r="I34">
        <f t="shared" si="3"/>
        <v>15.701108932036675</v>
      </c>
      <c r="S34" s="26"/>
      <c r="T34" s="32"/>
    </row>
    <row r="35" spans="1:20">
      <c r="A35" s="13">
        <v>15.8</v>
      </c>
      <c r="B35" s="4" t="s">
        <v>34</v>
      </c>
      <c r="C35">
        <v>33</v>
      </c>
      <c r="F35">
        <f t="shared" ref="F35:F57" si="11">$D$5*C35+$E$5</f>
        <v>15.086544850498337</v>
      </c>
      <c r="G35" s="24">
        <f t="shared" si="1"/>
        <v>0.71345514950166411</v>
      </c>
      <c r="H35">
        <f t="shared" si="2"/>
        <v>0.13688283570588797</v>
      </c>
      <c r="I35">
        <f t="shared" si="3"/>
        <v>15.223427686204225</v>
      </c>
      <c r="S35" s="26"/>
      <c r="T35" s="32"/>
    </row>
    <row r="36" spans="1:20">
      <c r="A36" s="14">
        <v>14.1</v>
      </c>
      <c r="B36" s="4" t="s">
        <v>35</v>
      </c>
      <c r="C36">
        <v>34</v>
      </c>
      <c r="F36">
        <f t="shared" si="11"/>
        <v>15.064391422530955</v>
      </c>
      <c r="G36" s="24">
        <f t="shared" si="1"/>
        <v>-0.96439142253095511</v>
      </c>
      <c r="H36">
        <f t="shared" si="2"/>
        <v>0.46220806091779548</v>
      </c>
      <c r="I36">
        <f t="shared" si="3"/>
        <v>15.52659948344875</v>
      </c>
      <c r="S36" s="26"/>
      <c r="T36" s="32"/>
    </row>
    <row r="37" spans="1:20">
      <c r="A37" s="15">
        <v>14.8</v>
      </c>
      <c r="B37" s="4" t="s">
        <v>36</v>
      </c>
      <c r="C37">
        <v>35</v>
      </c>
      <c r="F37">
        <f t="shared" si="11"/>
        <v>15.042237994563575</v>
      </c>
      <c r="G37" s="24">
        <f t="shared" si="1"/>
        <v>-0.24223799456357398</v>
      </c>
      <c r="H37">
        <f t="shared" si="2"/>
        <v>0.80481017835426327</v>
      </c>
      <c r="I37">
        <f t="shared" si="3"/>
        <v>15.847048172917837</v>
      </c>
      <c r="S37" s="26"/>
      <c r="T37" s="32"/>
    </row>
    <row r="38" spans="1:20">
      <c r="A38" s="16">
        <v>12.8</v>
      </c>
      <c r="B38" s="4" t="s">
        <v>37</v>
      </c>
      <c r="C38">
        <v>36</v>
      </c>
      <c r="F38">
        <f t="shared" si="11"/>
        <v>15.020084566596193</v>
      </c>
      <c r="G38" s="24">
        <f t="shared" si="1"/>
        <v>-2.2200845665961921</v>
      </c>
      <c r="H38">
        <f t="shared" si="2"/>
        <v>0.39815599890243719</v>
      </c>
      <c r="I38">
        <f t="shared" si="3"/>
        <v>15.41824056549863</v>
      </c>
      <c r="S38" s="26"/>
      <c r="T38" s="32"/>
    </row>
    <row r="39" spans="1:20">
      <c r="A39" s="17">
        <v>12.4</v>
      </c>
      <c r="B39" s="4" t="s">
        <v>38</v>
      </c>
      <c r="C39">
        <v>37</v>
      </c>
      <c r="F39">
        <f t="shared" si="11"/>
        <v>14.997931138628811</v>
      </c>
      <c r="G39" s="24">
        <f t="shared" si="1"/>
        <v>-2.5979311386288106</v>
      </c>
      <c r="H39">
        <f t="shared" si="2"/>
        <v>-0.90540233697692762</v>
      </c>
      <c r="I39">
        <f t="shared" si="3"/>
        <v>14.092528801651884</v>
      </c>
      <c r="S39" s="26"/>
      <c r="T39" s="32"/>
    </row>
    <row r="40" spans="1:20">
      <c r="A40" s="18">
        <v>13.6</v>
      </c>
      <c r="B40" s="4" t="s">
        <v>39</v>
      </c>
      <c r="C40">
        <v>38</v>
      </c>
      <c r="F40">
        <f t="shared" si="11"/>
        <v>14.975777710661429</v>
      </c>
      <c r="G40" s="24">
        <f t="shared" si="1"/>
        <v>-1.3757777106614295</v>
      </c>
      <c r="H40">
        <f t="shared" si="2"/>
        <v>-2.4776921685068927</v>
      </c>
      <c r="I40">
        <f t="shared" si="3"/>
        <v>12.498085542154536</v>
      </c>
      <c r="S40" s="26"/>
      <c r="T40" s="32"/>
    </row>
    <row r="41" spans="1:20">
      <c r="A41" s="19">
        <v>11.8</v>
      </c>
      <c r="B41" s="4" t="s">
        <v>40</v>
      </c>
      <c r="C41">
        <v>39</v>
      </c>
      <c r="F41">
        <f t="shared" si="11"/>
        <v>14.953624282694047</v>
      </c>
      <c r="G41" s="24">
        <f t="shared" si="1"/>
        <v>-3.1536242826940466</v>
      </c>
      <c r="H41">
        <f t="shared" si="2"/>
        <v>-3.3425621148368645</v>
      </c>
      <c r="I41">
        <f t="shared" si="3"/>
        <v>11.611062167857183</v>
      </c>
      <c r="S41" s="26"/>
      <c r="T41" s="32"/>
    </row>
    <row r="42" spans="1:20">
      <c r="A42" s="20">
        <v>15.7</v>
      </c>
      <c r="B42" s="4" t="s">
        <v>41</v>
      </c>
      <c r="C42">
        <v>40</v>
      </c>
      <c r="F42">
        <f t="shared" si="11"/>
        <v>14.931470854726667</v>
      </c>
      <c r="G42" s="24">
        <f t="shared" si="1"/>
        <v>0.76852914527333205</v>
      </c>
      <c r="H42">
        <f t="shared" si="2"/>
        <v>-2.8819913638024706</v>
      </c>
      <c r="I42">
        <f t="shared" si="3"/>
        <v>12.049479490924197</v>
      </c>
      <c r="S42" s="26"/>
      <c r="T42" s="32"/>
    </row>
    <row r="43" spans="1:20">
      <c r="A43" s="21">
        <v>20</v>
      </c>
      <c r="B43" s="4" t="s">
        <v>42</v>
      </c>
      <c r="C43">
        <v>41</v>
      </c>
      <c r="F43">
        <f t="shared" si="11"/>
        <v>14.909317426759285</v>
      </c>
      <c r="G43" s="24">
        <f t="shared" si="1"/>
        <v>5.0906825732407146</v>
      </c>
      <c r="H43">
        <f t="shared" si="2"/>
        <v>-1.3083659459741133</v>
      </c>
      <c r="I43">
        <f t="shared" si="3"/>
        <v>13.600951480785172</v>
      </c>
      <c r="S43" s="26"/>
      <c r="T43" s="32"/>
    </row>
    <row r="44" spans="1:20">
      <c r="A44" s="21">
        <v>15</v>
      </c>
      <c r="B44" s="4" t="s">
        <v>43</v>
      </c>
      <c r="C44">
        <v>42</v>
      </c>
      <c r="F44">
        <f t="shared" si="11"/>
        <v>14.887163998791904</v>
      </c>
      <c r="G44" s="24">
        <f t="shared" si="1"/>
        <v>0.11283600120809645</v>
      </c>
      <c r="H44">
        <f t="shared" si="2"/>
        <v>0.4448771641065879</v>
      </c>
      <c r="I44">
        <f t="shared" si="3"/>
        <v>15.332041162898491</v>
      </c>
      <c r="S44" s="26"/>
      <c r="T44" s="32"/>
    </row>
    <row r="45" spans="1:20" ht="15.75" thickBot="1">
      <c r="A45" s="28">
        <v>11.5</v>
      </c>
      <c r="B45" s="29" t="s">
        <v>44</v>
      </c>
      <c r="C45">
        <v>43</v>
      </c>
      <c r="F45" s="30">
        <f t="shared" si="11"/>
        <v>14.865010570824522</v>
      </c>
      <c r="G45" s="31">
        <f t="shared" si="1"/>
        <v>-3.3650105708245217</v>
      </c>
      <c r="H45">
        <f t="shared" si="2"/>
        <v>1.3454834549791073</v>
      </c>
      <c r="I45">
        <f t="shared" si="3"/>
        <v>16.21049402580363</v>
      </c>
      <c r="S45" s="26"/>
      <c r="T45" s="32"/>
    </row>
    <row r="46" spans="1:20" ht="15.75" thickTop="1">
      <c r="A46" s="25">
        <v>17.399999999999999</v>
      </c>
      <c r="B46" s="27" t="s">
        <v>45</v>
      </c>
      <c r="C46">
        <v>44</v>
      </c>
      <c r="F46">
        <f t="shared" si="11"/>
        <v>14.84285714285714</v>
      </c>
      <c r="G46" s="24"/>
      <c r="H46">
        <f t="shared" si="2"/>
        <v>0.95967883830862577</v>
      </c>
      <c r="I46">
        <f t="shared" si="3"/>
        <v>15.802535981165766</v>
      </c>
      <c r="J46">
        <f t="shared" ref="J46:J57" si="12">I46</f>
        <v>15.802535981165766</v>
      </c>
      <c r="K46" s="24">
        <f>J46-A46</f>
        <v>-1.5974640188342324</v>
      </c>
      <c r="S46" s="26"/>
      <c r="T46" s="32"/>
    </row>
    <row r="47" spans="1:20">
      <c r="A47" s="21">
        <v>15.6</v>
      </c>
      <c r="B47" s="4" t="s">
        <v>46</v>
      </c>
      <c r="C47">
        <v>45</v>
      </c>
      <c r="F47">
        <f t="shared" si="11"/>
        <v>14.82070371488976</v>
      </c>
      <c r="G47" s="24"/>
      <c r="H47">
        <f t="shared" si="2"/>
        <v>-0.26892233114388997</v>
      </c>
      <c r="I47">
        <f t="shared" si="3"/>
        <v>14.551781383745869</v>
      </c>
      <c r="J47">
        <f t="shared" si="12"/>
        <v>14.551781383745869</v>
      </c>
      <c r="K47" s="24">
        <f t="shared" ref="K47:K57" si="13">J47-A47</f>
        <v>-1.0482186162541307</v>
      </c>
      <c r="S47" s="26"/>
      <c r="T47" s="32"/>
    </row>
    <row r="48" spans="1:20">
      <c r="A48" s="21">
        <v>15</v>
      </c>
      <c r="B48" s="4" t="s">
        <v>47</v>
      </c>
      <c r="C48">
        <v>46</v>
      </c>
      <c r="F48">
        <f t="shared" si="11"/>
        <v>14.798550286922378</v>
      </c>
      <c r="G48" s="24"/>
      <c r="H48">
        <f t="shared" si="2"/>
        <v>-1.3540184727037949</v>
      </c>
      <c r="I48">
        <f t="shared" si="3"/>
        <v>13.444531814218584</v>
      </c>
      <c r="J48">
        <f t="shared" si="12"/>
        <v>13.444531814218584</v>
      </c>
      <c r="K48" s="24">
        <f t="shared" si="13"/>
        <v>-1.5554681857814163</v>
      </c>
      <c r="S48" s="26"/>
      <c r="T48" s="32"/>
    </row>
    <row r="49" spans="1:20">
      <c r="A49" s="21">
        <v>14.9</v>
      </c>
      <c r="B49" s="4" t="s">
        <v>48</v>
      </c>
      <c r="C49">
        <v>47</v>
      </c>
      <c r="F49">
        <f t="shared" si="11"/>
        <v>14.776396858954996</v>
      </c>
      <c r="G49" s="24"/>
      <c r="H49">
        <f t="shared" si="2"/>
        <v>-1.4722717822548352</v>
      </c>
      <c r="I49">
        <f t="shared" si="3"/>
        <v>13.30412507670016</v>
      </c>
      <c r="J49">
        <f t="shared" si="12"/>
        <v>13.30412507670016</v>
      </c>
      <c r="K49" s="24">
        <f t="shared" si="13"/>
        <v>-1.5958749232998404</v>
      </c>
      <c r="S49" s="26"/>
      <c r="T49" s="32"/>
    </row>
    <row r="50" spans="1:20">
      <c r="A50" s="21">
        <v>11.6</v>
      </c>
      <c r="B50" s="4" t="s">
        <v>49</v>
      </c>
      <c r="C50">
        <v>48</v>
      </c>
      <c r="F50">
        <f t="shared" si="11"/>
        <v>14.754243430987614</v>
      </c>
      <c r="G50" s="24"/>
      <c r="H50">
        <f t="shared" si="2"/>
        <v>-0.5344023546657799</v>
      </c>
      <c r="I50">
        <f t="shared" si="3"/>
        <v>14.219841076321835</v>
      </c>
      <c r="J50">
        <f t="shared" si="12"/>
        <v>14.219841076321835</v>
      </c>
      <c r="K50" s="24">
        <f t="shared" si="13"/>
        <v>2.6198410763218352</v>
      </c>
      <c r="S50" s="26"/>
      <c r="T50" s="32"/>
    </row>
    <row r="51" spans="1:20">
      <c r="A51" s="21">
        <v>13.9</v>
      </c>
      <c r="B51" s="4" t="s">
        <v>50</v>
      </c>
      <c r="C51">
        <v>49</v>
      </c>
      <c r="F51">
        <f t="shared" si="11"/>
        <v>14.732090003020232</v>
      </c>
      <c r="G51" s="24"/>
      <c r="H51">
        <f t="shared" si="2"/>
        <v>0.78307894207973172</v>
      </c>
      <c r="I51">
        <f t="shared" si="3"/>
        <v>15.515168945099964</v>
      </c>
      <c r="J51">
        <f t="shared" si="12"/>
        <v>15.515168945099964</v>
      </c>
      <c r="K51" s="24">
        <f t="shared" si="13"/>
        <v>1.6151689450999633</v>
      </c>
      <c r="S51" s="26"/>
      <c r="T51" s="32"/>
    </row>
    <row r="52" spans="1:20">
      <c r="A52" s="21">
        <v>12.7</v>
      </c>
      <c r="B52" s="4" t="s">
        <v>51</v>
      </c>
      <c r="C52">
        <v>50</v>
      </c>
      <c r="F52">
        <f t="shared" si="11"/>
        <v>14.709936575052852</v>
      </c>
      <c r="G52" s="24"/>
      <c r="H52">
        <f t="shared" si="2"/>
        <v>1.5593710093265583</v>
      </c>
      <c r="I52">
        <f t="shared" si="3"/>
        <v>16.269307584379412</v>
      </c>
      <c r="J52">
        <f t="shared" si="12"/>
        <v>16.269307584379412</v>
      </c>
      <c r="K52" s="24">
        <f t="shared" si="13"/>
        <v>3.5693075843794126</v>
      </c>
      <c r="S52" s="26"/>
      <c r="T52" s="32"/>
    </row>
    <row r="53" spans="1:20">
      <c r="A53" s="21">
        <v>15.5</v>
      </c>
      <c r="B53" s="4" t="s">
        <v>52</v>
      </c>
      <c r="C53">
        <v>51</v>
      </c>
      <c r="F53">
        <f t="shared" si="11"/>
        <v>14.687783147085471</v>
      </c>
      <c r="G53" s="24"/>
      <c r="H53">
        <f t="shared" si="2"/>
        <v>1.319000628277784</v>
      </c>
      <c r="I53">
        <f t="shared" si="3"/>
        <v>16.006783775363253</v>
      </c>
      <c r="J53">
        <f t="shared" si="12"/>
        <v>16.006783775363253</v>
      </c>
      <c r="K53" s="24">
        <f t="shared" si="13"/>
        <v>0.50678377536325314</v>
      </c>
      <c r="S53" s="26"/>
      <c r="T53" s="32"/>
    </row>
    <row r="54" spans="1:20">
      <c r="A54" s="21">
        <v>15.6</v>
      </c>
      <c r="B54" s="4" t="s">
        <v>53</v>
      </c>
      <c r="C54">
        <v>52</v>
      </c>
      <c r="F54">
        <f t="shared" si="11"/>
        <v>14.665629719118089</v>
      </c>
      <c r="G54" s="24"/>
      <c r="H54">
        <f t="shared" si="2"/>
        <v>0.3849905569776399</v>
      </c>
      <c r="I54">
        <f t="shared" si="3"/>
        <v>15.050620276095728</v>
      </c>
      <c r="J54">
        <f t="shared" si="12"/>
        <v>15.050620276095728</v>
      </c>
      <c r="K54" s="24">
        <f t="shared" si="13"/>
        <v>-0.5493797239042717</v>
      </c>
      <c r="S54" s="26"/>
      <c r="T54" s="32"/>
    </row>
    <row r="55" spans="1:20">
      <c r="A55" s="22">
        <v>14.3</v>
      </c>
      <c r="B55" s="4" t="s">
        <v>54</v>
      </c>
      <c r="C55">
        <v>53</v>
      </c>
      <c r="F55">
        <f t="shared" si="11"/>
        <v>14.643476291150707</v>
      </c>
      <c r="G55" s="24"/>
      <c r="H55">
        <f t="shared" si="2"/>
        <v>-0.36316128789223856</v>
      </c>
      <c r="I55">
        <f t="shared" si="3"/>
        <v>14.280315003258469</v>
      </c>
      <c r="J55">
        <f t="shared" si="12"/>
        <v>14.280315003258469</v>
      </c>
      <c r="K55" s="24">
        <f t="shared" si="13"/>
        <v>-1.9684996741531791E-2</v>
      </c>
      <c r="S55" s="26"/>
      <c r="T55" s="32"/>
    </row>
    <row r="56" spans="1:20">
      <c r="A56" s="22">
        <v>18</v>
      </c>
      <c r="B56" s="4" t="s">
        <v>55</v>
      </c>
      <c r="C56">
        <v>54</v>
      </c>
      <c r="F56">
        <f t="shared" si="11"/>
        <v>14.621322863183327</v>
      </c>
      <c r="G56" s="24"/>
      <c r="H56">
        <f t="shared" si="2"/>
        <v>-0.15215144993968596</v>
      </c>
      <c r="I56">
        <f t="shared" si="3"/>
        <v>14.469171413243641</v>
      </c>
      <c r="J56">
        <f t="shared" si="12"/>
        <v>14.469171413243641</v>
      </c>
      <c r="K56" s="24">
        <f t="shared" si="13"/>
        <v>-3.5308285867563587</v>
      </c>
      <c r="S56" s="26"/>
      <c r="T56" s="32"/>
    </row>
    <row r="57" spans="1:20">
      <c r="A57" s="22">
        <v>15.6</v>
      </c>
      <c r="B57" s="4" t="s">
        <v>56</v>
      </c>
      <c r="C57">
        <v>55</v>
      </c>
      <c r="F57">
        <f t="shared" si="11"/>
        <v>14.599169435215945</v>
      </c>
      <c r="G57" s="24"/>
      <c r="H57">
        <f t="shared" si="2"/>
        <v>1.0839600692145506</v>
      </c>
      <c r="I57">
        <f t="shared" si="3"/>
        <v>15.683129504430495</v>
      </c>
      <c r="J57">
        <f t="shared" si="12"/>
        <v>15.683129504430495</v>
      </c>
      <c r="K57" s="24">
        <f t="shared" si="13"/>
        <v>8.312950443049516E-2</v>
      </c>
      <c r="S57" s="26"/>
      <c r="T57" s="32"/>
    </row>
    <row r="58" spans="1:20">
      <c r="A58" s="5"/>
      <c r="B58" s="4"/>
      <c r="G58" s="24"/>
      <c r="K58" s="34">
        <f>SUMSQ(K46:K57)</f>
        <v>43.861942623702063</v>
      </c>
      <c r="S58" s="26"/>
      <c r="T58" s="32"/>
    </row>
    <row r="59" spans="1:20">
      <c r="A59" s="5"/>
      <c r="B59" s="4"/>
      <c r="G59" s="24"/>
      <c r="S59" s="26"/>
      <c r="T59" s="32"/>
    </row>
    <row r="60" spans="1:20">
      <c r="A60" s="5"/>
      <c r="B60" s="4"/>
      <c r="G60" s="24"/>
      <c r="S60" s="26"/>
      <c r="T60" s="32"/>
    </row>
    <row r="61" spans="1:20">
      <c r="A61" s="5"/>
      <c r="B61" s="4"/>
      <c r="G61" s="24"/>
      <c r="S61" s="26"/>
      <c r="T61" s="32"/>
    </row>
    <row r="62" spans="1:20">
      <c r="A62" s="5"/>
      <c r="B62" s="4"/>
      <c r="G62" s="24"/>
      <c r="S62" s="26"/>
      <c r="T62" s="32"/>
    </row>
    <row r="63" spans="1:20">
      <c r="A63" s="5"/>
      <c r="B63" s="3"/>
      <c r="G63" s="24"/>
      <c r="S63" s="26"/>
      <c r="T63" s="32"/>
    </row>
    <row r="64" spans="1:20">
      <c r="A64" s="5"/>
      <c r="B64" s="4"/>
      <c r="G64" s="24"/>
      <c r="S64" s="26"/>
      <c r="T64" s="32"/>
    </row>
    <row r="65" spans="1:20">
      <c r="A65" s="5"/>
      <c r="B65" s="4"/>
      <c r="G65" s="24"/>
      <c r="S65" s="26"/>
      <c r="T65" s="32"/>
    </row>
    <row r="66" spans="1:20">
      <c r="A66" s="5"/>
      <c r="B66" s="4"/>
      <c r="G66" s="24"/>
      <c r="S66" s="26"/>
      <c r="T66" s="32"/>
    </row>
    <row r="67" spans="1:20">
      <c r="A67" s="5"/>
      <c r="B67" s="4"/>
      <c r="G67" s="24"/>
      <c r="S67" s="26"/>
      <c r="T67" s="32"/>
    </row>
    <row r="68" spans="1:20">
      <c r="A68" s="5"/>
      <c r="B68" s="4"/>
      <c r="G68" s="24"/>
      <c r="S68" s="26"/>
      <c r="T68" s="32"/>
    </row>
    <row r="69" spans="1:20">
      <c r="A69" s="5"/>
      <c r="B69" s="4"/>
      <c r="G69" s="24"/>
      <c r="S69" s="26"/>
      <c r="T69" s="32"/>
    </row>
    <row r="70" spans="1:20">
      <c r="A70" s="5"/>
      <c r="B70" s="4"/>
      <c r="G70" s="24"/>
      <c r="S70" s="26"/>
      <c r="T70" s="32"/>
    </row>
    <row r="71" spans="1:20">
      <c r="A71" s="5"/>
      <c r="B71" s="4"/>
      <c r="G71" s="24"/>
      <c r="S71" s="26"/>
      <c r="T71" s="32"/>
    </row>
    <row r="72" spans="1:20">
      <c r="A72" s="5"/>
      <c r="B72" s="4"/>
      <c r="G72" s="24"/>
      <c r="S72" s="26"/>
      <c r="T72" s="32"/>
    </row>
    <row r="73" spans="1:20">
      <c r="A73" s="5"/>
      <c r="B73" s="4"/>
      <c r="G73" s="24"/>
      <c r="S73" s="26"/>
      <c r="T73" s="32"/>
    </row>
    <row r="74" spans="1:20">
      <c r="A74" s="5"/>
      <c r="B74" s="4"/>
      <c r="G74" s="24"/>
      <c r="S74" s="26"/>
      <c r="T74" s="32"/>
    </row>
    <row r="75" spans="1:20">
      <c r="A75" s="5"/>
      <c r="B75" s="3"/>
      <c r="G75" s="24"/>
      <c r="S75" s="26"/>
      <c r="T75" s="32"/>
    </row>
    <row r="76" spans="1:20">
      <c r="A76" s="5"/>
      <c r="B76" s="4"/>
      <c r="G76" s="24"/>
      <c r="S76" s="26"/>
      <c r="T76" s="32"/>
    </row>
    <row r="77" spans="1:20">
      <c r="A77" s="5"/>
      <c r="B77" s="4"/>
      <c r="G77" s="24"/>
      <c r="S77" s="26"/>
      <c r="T77" s="32"/>
    </row>
    <row r="78" spans="1:20">
      <c r="A78" s="5"/>
      <c r="B78" s="4"/>
      <c r="G78" s="24"/>
      <c r="S78" s="26"/>
      <c r="T78" s="32"/>
    </row>
    <row r="79" spans="1:20">
      <c r="A79" s="5"/>
      <c r="B79" s="4"/>
      <c r="G79" s="24"/>
      <c r="S79" s="26"/>
      <c r="T79" s="32"/>
    </row>
    <row r="80" spans="1:20">
      <c r="A80" s="5"/>
      <c r="B80" s="4"/>
      <c r="G80" s="24"/>
      <c r="S80" s="26"/>
      <c r="T80" s="32"/>
    </row>
    <row r="81" spans="1:20">
      <c r="A81" s="5"/>
      <c r="B81" s="4"/>
      <c r="G81" s="24"/>
      <c r="S81" s="26"/>
      <c r="T81" s="32"/>
    </row>
    <row r="82" spans="1:20">
      <c r="A82" s="5"/>
      <c r="B82" s="4"/>
      <c r="G82" s="24"/>
      <c r="S82" s="26"/>
      <c r="T82" s="32"/>
    </row>
    <row r="83" spans="1:20">
      <c r="A83" s="5"/>
      <c r="B83" s="4"/>
      <c r="G83" s="24"/>
      <c r="S83" s="26"/>
      <c r="T83" s="32"/>
    </row>
    <row r="84" spans="1:20">
      <c r="A84" s="5"/>
      <c r="B84" s="4"/>
      <c r="G84" s="24"/>
      <c r="S84" s="26"/>
      <c r="T84" s="32"/>
    </row>
    <row r="85" spans="1:20">
      <c r="A85" s="5"/>
      <c r="B85" s="4"/>
      <c r="G85" s="24"/>
      <c r="S85" s="26"/>
      <c r="T85" s="32"/>
    </row>
    <row r="86" spans="1:20">
      <c r="A86" s="5"/>
      <c r="B86" s="4"/>
      <c r="G86" s="24"/>
      <c r="S86" s="26"/>
      <c r="T86" s="32"/>
    </row>
    <row r="87" spans="1:20">
      <c r="A87" s="5"/>
      <c r="B87" s="3"/>
      <c r="G87" s="24"/>
      <c r="S87" s="26"/>
      <c r="T87" s="32"/>
    </row>
    <row r="88" spans="1:20">
      <c r="A88" s="5"/>
      <c r="B88" s="4"/>
      <c r="G88" s="24"/>
      <c r="S88" s="26"/>
      <c r="T88" s="32"/>
    </row>
    <row r="89" spans="1:20">
      <c r="A89" s="5"/>
      <c r="B89" s="4"/>
      <c r="G89" s="24"/>
      <c r="S89" s="26"/>
      <c r="T89" s="32"/>
    </row>
    <row r="90" spans="1:20">
      <c r="A90" s="5"/>
      <c r="B90" s="4"/>
      <c r="G90" s="24"/>
      <c r="S90" s="26"/>
      <c r="T90" s="32"/>
    </row>
    <row r="91" spans="1:20">
      <c r="A91" s="5"/>
      <c r="B91" s="4"/>
      <c r="G91" s="24"/>
      <c r="S91" s="26"/>
      <c r="T91" s="32"/>
    </row>
    <row r="92" spans="1:20">
      <c r="A92" s="5"/>
      <c r="B92" s="4"/>
      <c r="G92" s="24"/>
      <c r="S92" s="26"/>
      <c r="T92" s="32"/>
    </row>
    <row r="93" spans="1:20">
      <c r="A93" s="5"/>
      <c r="B93" s="4"/>
      <c r="G93" s="24"/>
      <c r="S93" s="26"/>
      <c r="T93" s="32"/>
    </row>
    <row r="94" spans="1:20">
      <c r="A94" s="5"/>
      <c r="B94" s="4"/>
      <c r="G94" s="24"/>
      <c r="S94" s="26"/>
      <c r="T94" s="32"/>
    </row>
    <row r="95" spans="1:20">
      <c r="A95" s="5"/>
      <c r="B95" s="4"/>
      <c r="G95" s="24"/>
      <c r="S95" s="26"/>
      <c r="T95" s="32"/>
    </row>
    <row r="96" spans="1:20">
      <c r="A96" s="5"/>
      <c r="B96" s="4"/>
      <c r="G96" s="24"/>
      <c r="S96" s="26"/>
      <c r="T96" s="32"/>
    </row>
    <row r="97" spans="1:20">
      <c r="A97" s="5"/>
      <c r="B97" s="4"/>
      <c r="G97" s="24"/>
      <c r="S97" s="26"/>
      <c r="T97" s="32"/>
    </row>
    <row r="98" spans="1:20">
      <c r="A98" s="5"/>
      <c r="B98" s="4"/>
      <c r="G98" s="24"/>
      <c r="S98" s="26"/>
      <c r="T98" s="32"/>
    </row>
    <row r="99" spans="1:20">
      <c r="A99" s="5"/>
      <c r="B99" s="3"/>
      <c r="G99" s="24"/>
      <c r="S99" s="26"/>
      <c r="T99" s="32"/>
    </row>
    <row r="100" spans="1:20">
      <c r="A100" s="5"/>
      <c r="B100" s="4"/>
      <c r="G100" s="24"/>
      <c r="S100" s="26"/>
      <c r="T100" s="32"/>
    </row>
    <row r="101" spans="1:20">
      <c r="A101" s="5"/>
      <c r="B101" s="4"/>
      <c r="G101" s="24"/>
      <c r="S101" s="26"/>
      <c r="T101" s="32"/>
    </row>
    <row r="102" spans="1:20">
      <c r="A102" s="5"/>
      <c r="B102" s="4"/>
      <c r="G102" s="24"/>
      <c r="S102" s="26"/>
      <c r="T102" s="32"/>
    </row>
    <row r="103" spans="1:20">
      <c r="A103" s="5"/>
      <c r="B103" s="4"/>
      <c r="G103" s="24"/>
      <c r="S103" s="26"/>
      <c r="T103" s="32"/>
    </row>
    <row r="104" spans="1:20">
      <c r="A104" s="5"/>
      <c r="B104" s="4"/>
      <c r="G104" s="24"/>
      <c r="S104" s="26"/>
      <c r="T104" s="32"/>
    </row>
    <row r="105" spans="1:20">
      <c r="A105" s="5"/>
      <c r="B105" s="4"/>
      <c r="G105" s="24"/>
      <c r="S105" s="26"/>
      <c r="T105" s="32"/>
    </row>
    <row r="106" spans="1:20">
      <c r="A106" s="5"/>
      <c r="B106" s="4"/>
      <c r="G106" s="24"/>
      <c r="S106" s="26"/>
      <c r="T106" s="32"/>
    </row>
    <row r="107" spans="1:20">
      <c r="A107" s="5"/>
      <c r="B107" s="4"/>
      <c r="G107" s="24"/>
      <c r="S107" s="26"/>
      <c r="T107" s="32"/>
    </row>
    <row r="108" spans="1:20">
      <c r="A108" s="5"/>
      <c r="B108" s="4"/>
      <c r="G108" s="24"/>
    </row>
    <row r="109" spans="1:20">
      <c r="A109" s="5"/>
      <c r="B109" s="4"/>
      <c r="G109" s="24"/>
    </row>
    <row r="110" spans="1:20">
      <c r="A110" s="5"/>
      <c r="B110" s="4"/>
      <c r="G110" s="24"/>
    </row>
    <row r="111" spans="1:20">
      <c r="A111" s="6"/>
      <c r="B111" s="4"/>
      <c r="G111" s="24"/>
    </row>
    <row r="112" spans="1:20">
      <c r="A112" s="6"/>
      <c r="B112" s="4"/>
      <c r="G112" s="24"/>
    </row>
    <row r="113" spans="1:7">
      <c r="A113" s="6"/>
      <c r="B113" s="4"/>
      <c r="G113" s="24"/>
    </row>
    <row r="114" spans="1:7">
      <c r="A114" s="6"/>
      <c r="B114" s="4"/>
      <c r="G114" s="24"/>
    </row>
    <row r="115" spans="1:7">
      <c r="A115" s="6"/>
      <c r="B115" s="4"/>
      <c r="G115" s="24"/>
    </row>
    <row r="116" spans="1:7">
      <c r="A116" s="6"/>
      <c r="B116" s="4"/>
      <c r="G116" s="24"/>
    </row>
    <row r="117" spans="1:7">
      <c r="A117" s="6"/>
      <c r="B117" s="4"/>
      <c r="G117" s="24"/>
    </row>
    <row r="118" spans="1:7">
      <c r="A118" s="6"/>
      <c r="B118" s="4"/>
      <c r="G118" s="24"/>
    </row>
    <row r="119" spans="1:7">
      <c r="A119" s="6"/>
      <c r="B119" s="4"/>
      <c r="G119" s="24"/>
    </row>
    <row r="120" spans="1:7">
      <c r="A120" s="6"/>
      <c r="B120" s="4"/>
      <c r="G120" s="24"/>
    </row>
    <row r="121" spans="1:7">
      <c r="A121" s="6"/>
      <c r="B121" s="4"/>
      <c r="G121" s="24"/>
    </row>
    <row r="122" spans="1:7">
      <c r="A122" s="6"/>
      <c r="B122" s="4"/>
      <c r="G122" s="24"/>
    </row>
    <row r="123" spans="1:7">
      <c r="A123" s="6"/>
      <c r="B123" s="4"/>
      <c r="G123" s="24"/>
    </row>
    <row r="124" spans="1:7">
      <c r="A124" s="6"/>
      <c r="B124" s="4"/>
      <c r="G124" s="24"/>
    </row>
    <row r="125" spans="1:7">
      <c r="A125" s="6"/>
      <c r="B125" s="4"/>
      <c r="G125" s="24"/>
    </row>
    <row r="126" spans="1:7">
      <c r="A126" s="6"/>
      <c r="B126" s="4"/>
      <c r="G126" s="24"/>
    </row>
    <row r="127" spans="1:7">
      <c r="A127" s="6"/>
      <c r="B127" s="4"/>
      <c r="G127" s="24"/>
    </row>
    <row r="128" spans="1:7">
      <c r="A128" s="6"/>
      <c r="B128" s="4"/>
      <c r="G128" s="24"/>
    </row>
    <row r="129" spans="1:7">
      <c r="A129" s="6"/>
      <c r="B129" s="4"/>
      <c r="G129" s="24"/>
    </row>
    <row r="130" spans="1:7">
      <c r="A130" s="6"/>
      <c r="B130" s="4"/>
      <c r="G130" s="24"/>
    </row>
    <row r="131" spans="1:7">
      <c r="A131" s="6"/>
      <c r="B131" s="4"/>
      <c r="G131" s="24"/>
    </row>
    <row r="132" spans="1:7">
      <c r="A132" s="6"/>
      <c r="B132" s="4"/>
      <c r="G132" s="24"/>
    </row>
    <row r="133" spans="1:7">
      <c r="A133" s="6"/>
      <c r="B133" s="4"/>
      <c r="G133" s="24"/>
    </row>
    <row r="134" spans="1:7">
      <c r="A134" s="6"/>
      <c r="B134" s="4"/>
      <c r="G134" s="24"/>
    </row>
    <row r="135" spans="1:7">
      <c r="A135" s="6"/>
      <c r="B135" s="4"/>
      <c r="G135" s="24"/>
    </row>
    <row r="136" spans="1:7">
      <c r="A136" s="6"/>
      <c r="B136" s="4"/>
      <c r="G136" s="24"/>
    </row>
    <row r="137" spans="1:7">
      <c r="A137" s="6"/>
      <c r="B137" s="4"/>
      <c r="G137" s="24"/>
    </row>
    <row r="138" spans="1:7">
      <c r="A138" s="6"/>
      <c r="B138" s="4"/>
      <c r="G138" s="24"/>
    </row>
    <row r="139" spans="1:7">
      <c r="A139" s="6"/>
      <c r="B139" s="4"/>
      <c r="G139" s="24"/>
    </row>
    <row r="140" spans="1:7">
      <c r="A140" s="6"/>
      <c r="B140" s="4"/>
      <c r="G140" s="24"/>
    </row>
    <row r="141" spans="1:7">
      <c r="A141" s="6"/>
      <c r="B141" s="4"/>
      <c r="G141" s="24"/>
    </row>
    <row r="142" spans="1:7">
      <c r="A142" s="6"/>
      <c r="B142" s="4"/>
      <c r="G142" s="24"/>
    </row>
    <row r="143" spans="1:7">
      <c r="A143" s="6"/>
      <c r="B143" s="4"/>
      <c r="G143" s="24"/>
    </row>
    <row r="144" spans="1:7">
      <c r="A144" s="6"/>
      <c r="B144" s="4"/>
      <c r="G144" s="24"/>
    </row>
    <row r="145" spans="1:7">
      <c r="A145" s="6"/>
      <c r="B145" s="4"/>
      <c r="G145" s="24"/>
    </row>
    <row r="146" spans="1:7">
      <c r="A146" s="6"/>
      <c r="B146" s="4"/>
      <c r="G146" s="24"/>
    </row>
    <row r="147" spans="1:7">
      <c r="A147" s="6"/>
      <c r="B147" s="4"/>
      <c r="G147" s="24"/>
    </row>
    <row r="148" spans="1:7">
      <c r="A148" s="6"/>
      <c r="B148" s="4"/>
      <c r="G148" s="24"/>
    </row>
    <row r="149" spans="1:7">
      <c r="A149" s="6"/>
      <c r="B149" s="4"/>
      <c r="G149" s="24"/>
    </row>
    <row r="150" spans="1:7">
      <c r="A150" s="6"/>
      <c r="B150" s="4"/>
      <c r="G150" s="24"/>
    </row>
    <row r="151" spans="1:7">
      <c r="A151" s="6"/>
      <c r="B151" s="4"/>
      <c r="G151" s="24"/>
    </row>
    <row r="152" spans="1:7">
      <c r="A152" s="6"/>
      <c r="B152" s="4"/>
      <c r="G152" s="24"/>
    </row>
    <row r="153" spans="1:7">
      <c r="A153" s="6"/>
      <c r="B153" s="4"/>
      <c r="G153" s="24"/>
    </row>
    <row r="154" spans="1:7">
      <c r="A154" s="6"/>
      <c r="B154" s="4"/>
      <c r="G154" s="24"/>
    </row>
    <row r="155" spans="1:7">
      <c r="A155" s="6"/>
      <c r="B155" s="4"/>
      <c r="G155" s="24"/>
    </row>
    <row r="156" spans="1:7">
      <c r="A156" s="6"/>
      <c r="B156" s="4"/>
      <c r="G156" s="24"/>
    </row>
    <row r="157" spans="1:7">
      <c r="A157" s="6"/>
      <c r="B157" s="4"/>
      <c r="G157" s="24"/>
    </row>
    <row r="158" spans="1:7">
      <c r="A158" s="6"/>
      <c r="B158" s="4"/>
      <c r="G158" s="24"/>
    </row>
    <row r="159" spans="1:7">
      <c r="A159" s="6"/>
      <c r="B159" s="4"/>
      <c r="G159" s="24"/>
    </row>
    <row r="160" spans="1:7">
      <c r="A160" s="7"/>
      <c r="B160" s="4"/>
      <c r="G160" s="24"/>
    </row>
    <row r="161" spans="1:7">
      <c r="A161" s="7"/>
      <c r="B161" s="4"/>
      <c r="G161" s="24"/>
    </row>
    <row r="162" spans="1:7">
      <c r="A162" s="7"/>
      <c r="B162" s="4"/>
      <c r="G162" s="24"/>
    </row>
    <row r="163" spans="1:7">
      <c r="A163" s="7"/>
      <c r="B163" s="4"/>
      <c r="G163" s="24"/>
    </row>
    <row r="164" spans="1:7">
      <c r="A164" s="8"/>
      <c r="B164" s="4"/>
      <c r="G164" s="24"/>
    </row>
    <row r="165" spans="1:7">
      <c r="A165" s="7"/>
      <c r="B165" s="4"/>
      <c r="G165" s="24"/>
    </row>
    <row r="166" spans="1:7">
      <c r="A166" s="7"/>
      <c r="B166" s="4"/>
      <c r="G166" s="24"/>
    </row>
    <row r="204" spans="3:11">
      <c r="C204" s="35"/>
      <c r="D204" s="35"/>
      <c r="E204" s="35"/>
      <c r="F204" s="35"/>
      <c r="G204" s="35"/>
      <c r="H204" s="35"/>
      <c r="I204" s="35"/>
      <c r="J204" s="35"/>
      <c r="K204" s="35"/>
    </row>
    <row r="205" spans="3:11">
      <c r="C205" s="35"/>
      <c r="D205" s="35"/>
      <c r="E205" s="35"/>
      <c r="F205" s="35"/>
      <c r="G205" s="35"/>
      <c r="H205" s="35"/>
      <c r="I205" s="35"/>
      <c r="J205" s="35"/>
      <c r="K205" s="35"/>
    </row>
    <row r="206" spans="3:11">
      <c r="C206" s="35"/>
      <c r="D206" s="35"/>
      <c r="E206" s="35"/>
      <c r="F206" s="35"/>
      <c r="G206" s="35"/>
      <c r="H206" s="35"/>
      <c r="I206" s="35"/>
      <c r="J206" s="35"/>
      <c r="K206" s="35"/>
    </row>
    <row r="207" spans="3:11">
      <c r="C207" s="35"/>
      <c r="D207" s="35"/>
      <c r="E207" s="35"/>
      <c r="F207" s="35"/>
      <c r="G207" s="35"/>
      <c r="H207" s="35"/>
      <c r="I207" s="35"/>
      <c r="J207" s="35"/>
      <c r="K207" s="35"/>
    </row>
    <row r="208" spans="3:11">
      <c r="C208" s="35"/>
      <c r="D208" s="35"/>
      <c r="E208" s="35"/>
      <c r="F208" s="35"/>
      <c r="G208" s="35"/>
      <c r="H208" s="35"/>
      <c r="I208" s="35"/>
      <c r="J208" s="35"/>
      <c r="K208" s="35"/>
    </row>
    <row r="209" spans="3:11">
      <c r="C209" s="35"/>
      <c r="D209" s="35"/>
      <c r="E209" s="35"/>
      <c r="F209" s="35"/>
      <c r="G209" s="35"/>
      <c r="H209" s="35"/>
      <c r="I209" s="35"/>
      <c r="J209" s="35"/>
      <c r="K209" s="35"/>
    </row>
    <row r="210" spans="3:11">
      <c r="C210" s="35"/>
      <c r="D210" s="35"/>
      <c r="E210" s="35"/>
      <c r="F210" s="35"/>
      <c r="G210" s="36"/>
      <c r="H210" s="35"/>
      <c r="I210" s="35"/>
      <c r="J210" s="35"/>
      <c r="K210" s="35"/>
    </row>
    <row r="211" spans="3:11">
      <c r="C211" s="35"/>
      <c r="D211" s="35"/>
      <c r="E211" s="35"/>
      <c r="F211" s="35"/>
      <c r="G211" s="36"/>
      <c r="H211" s="35"/>
      <c r="I211" s="35"/>
      <c r="J211" s="35"/>
      <c r="K211" s="35"/>
    </row>
    <row r="212" spans="3:11">
      <c r="C212" s="35"/>
      <c r="D212" s="35"/>
      <c r="E212" s="35"/>
      <c r="F212" s="35"/>
      <c r="G212" s="36"/>
      <c r="H212" s="35"/>
      <c r="I212" s="35"/>
      <c r="J212" s="35"/>
      <c r="K212" s="35"/>
    </row>
    <row r="213" spans="3:11">
      <c r="C213" s="35"/>
      <c r="D213" s="35"/>
      <c r="E213" s="35"/>
      <c r="F213" s="35"/>
      <c r="G213" s="36"/>
      <c r="H213" s="35"/>
      <c r="I213" s="35"/>
      <c r="J213" s="35"/>
      <c r="K213" s="35"/>
    </row>
    <row r="214" spans="3:11">
      <c r="C214" s="35"/>
      <c r="D214" s="35"/>
      <c r="E214" s="35"/>
      <c r="F214" s="35"/>
      <c r="G214" s="36"/>
      <c r="H214" s="35"/>
      <c r="I214" s="35"/>
      <c r="J214" s="35"/>
      <c r="K214" s="35"/>
    </row>
    <row r="215" spans="3:11">
      <c r="C215" s="35"/>
      <c r="D215" s="35"/>
      <c r="E215" s="35"/>
      <c r="F215" s="35"/>
      <c r="G215" s="36"/>
      <c r="H215" s="35"/>
      <c r="I215" s="35"/>
      <c r="J215" s="35"/>
      <c r="K215" s="35"/>
    </row>
    <row r="216" spans="3:11">
      <c r="C216" s="35"/>
      <c r="D216" s="35"/>
      <c r="E216" s="35"/>
      <c r="F216" s="35"/>
      <c r="G216" s="36"/>
      <c r="H216" s="35"/>
      <c r="I216" s="35"/>
      <c r="J216" s="35"/>
      <c r="K216" s="35"/>
    </row>
    <row r="217" spans="3:11">
      <c r="C217" s="35"/>
      <c r="D217" s="35"/>
      <c r="E217" s="35"/>
      <c r="F217" s="35"/>
      <c r="G217" s="36"/>
      <c r="H217" s="35"/>
      <c r="I217" s="35"/>
      <c r="J217" s="35"/>
      <c r="K217" s="35"/>
    </row>
    <row r="218" spans="3:11">
      <c r="C218" s="35"/>
      <c r="D218" s="35"/>
      <c r="E218" s="35"/>
      <c r="F218" s="35"/>
      <c r="G218" s="36"/>
      <c r="H218" s="35"/>
      <c r="I218" s="35"/>
      <c r="J218" s="35"/>
      <c r="K218" s="35"/>
    </row>
    <row r="219" spans="3:11">
      <c r="G219" s="24"/>
    </row>
    <row r="220" spans="3:11">
      <c r="G220" s="24"/>
    </row>
    <row r="221" spans="3:11">
      <c r="G221" s="24"/>
    </row>
  </sheetData>
  <mergeCells count="1">
    <mergeCell ref="D3:E3"/>
  </mergeCells>
  <conditionalFormatting sqref="R4:R107">
    <cfRule type="expression" dxfId="0" priority="1">
      <formula>R4 &gt; AVERAGE($R$4:$R$107)</formula>
    </cfRule>
  </conditionalFormatting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3" shapeId="4097" r:id="rId3">
          <objectPr defaultSize="0" r:id="rId4">
            <anchor moveWithCells="1">
              <from>
                <xdr:col>21</xdr:col>
                <xdr:colOff>542925</xdr:colOff>
                <xdr:row>0</xdr:row>
                <xdr:rowOff>628650</xdr:rowOff>
              </from>
              <to>
                <xdr:col>26</xdr:col>
                <xdr:colOff>504825</xdr:colOff>
                <xdr:row>1</xdr:row>
                <xdr:rowOff>533400</xdr:rowOff>
              </to>
            </anchor>
          </objectPr>
        </oleObject>
      </mc:Choice>
      <mc:Fallback>
        <oleObject progId="Equation.3" shapeId="4097" r:id="rId3"/>
      </mc:Fallback>
    </mc:AlternateContent>
    <mc:AlternateContent xmlns:mc="http://schemas.openxmlformats.org/markup-compatibility/2006">
      <mc:Choice Requires="x14">
        <oleObject progId="Equation.3" shapeId="4098" r:id="rId5">
          <objectPr defaultSize="0" r:id="rId6">
            <anchor moveWithCells="1">
              <from>
                <xdr:col>22</xdr:col>
                <xdr:colOff>381000</xdr:colOff>
                <xdr:row>1</xdr:row>
                <xdr:rowOff>800100</xdr:rowOff>
              </from>
              <to>
                <xdr:col>27</xdr:col>
                <xdr:colOff>295275</xdr:colOff>
                <xdr:row>3</xdr:row>
                <xdr:rowOff>171450</xdr:rowOff>
              </to>
            </anchor>
          </objectPr>
        </oleObject>
      </mc:Choice>
      <mc:Fallback>
        <oleObject progId="Equation.3" shapeId="4098" r:id="rId5"/>
      </mc:Fallback>
    </mc:AlternateContent>
    <mc:AlternateContent xmlns:mc="http://schemas.openxmlformats.org/markup-compatibility/2006">
      <mc:Choice Requires="x14">
        <oleObject progId="Equation.3" shapeId="4099" r:id="rId7">
          <objectPr defaultSize="0" autoPict="0" r:id="rId8">
            <anchor moveWithCells="1">
              <from>
                <xdr:col>22</xdr:col>
                <xdr:colOff>228600</xdr:colOff>
                <xdr:row>4</xdr:row>
                <xdr:rowOff>171450</xdr:rowOff>
              </from>
              <to>
                <xdr:col>27</xdr:col>
                <xdr:colOff>190500</xdr:colOff>
                <xdr:row>16</xdr:row>
                <xdr:rowOff>47625</xdr:rowOff>
              </to>
            </anchor>
          </objectPr>
        </oleObject>
      </mc:Choice>
      <mc:Fallback>
        <oleObject progId="Equation.3" shapeId="4099" r:id="rId7"/>
      </mc:Fallback>
    </mc:AlternateContent>
    <mc:AlternateContent xmlns:mc="http://schemas.openxmlformats.org/markup-compatibility/2006">
      <mc:Choice Requires="x14">
        <oleObject progId="Equation.3" shapeId="4100" r:id="rId9">
          <objectPr defaultSize="0" autoPict="0" r:id="rId10">
            <anchor moveWithCells="1">
              <from>
                <xdr:col>22</xdr:col>
                <xdr:colOff>295275</xdr:colOff>
                <xdr:row>16</xdr:row>
                <xdr:rowOff>161925</xdr:rowOff>
              </from>
              <to>
                <xdr:col>27</xdr:col>
                <xdr:colOff>257175</xdr:colOff>
                <xdr:row>22</xdr:row>
                <xdr:rowOff>104775</xdr:rowOff>
              </to>
            </anchor>
          </objectPr>
        </oleObject>
      </mc:Choice>
      <mc:Fallback>
        <oleObject progId="Equation.3" shapeId="4100" r:id="rId9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F2215-70B8-424C-B8D7-E56A3DE50969}">
  <sheetPr codeName="Arkusz1"/>
  <dimension ref="A2:R17"/>
  <sheetViews>
    <sheetView zoomScale="80" zoomScaleNormal="80" workbookViewId="0">
      <selection activeCell="P5" sqref="P5"/>
    </sheetView>
  </sheetViews>
  <sheetFormatPr defaultRowHeight="15"/>
  <cols>
    <col min="1" max="1" width="25.42578125" customWidth="1"/>
    <col min="2" max="2" width="12.7109375" bestFit="1" customWidth="1"/>
    <col min="3" max="3" width="4" bestFit="1" customWidth="1"/>
    <col min="4" max="4" width="12" bestFit="1" customWidth="1"/>
    <col min="7" max="7" width="15" bestFit="1" customWidth="1"/>
    <col min="8" max="8" width="12" bestFit="1" customWidth="1"/>
    <col min="12" max="12" width="37" customWidth="1"/>
    <col min="13" max="13" width="12.7109375" bestFit="1" customWidth="1"/>
    <col min="17" max="17" width="12" bestFit="1" customWidth="1"/>
    <col min="18" max="18" width="12.7109375" bestFit="1" customWidth="1"/>
  </cols>
  <sheetData>
    <row r="2" spans="1:18" ht="76.5" customHeight="1">
      <c r="A2" s="47" t="s">
        <v>77</v>
      </c>
      <c r="B2" s="48"/>
      <c r="C2" s="48"/>
      <c r="D2" s="49"/>
      <c r="G2" s="47" t="s">
        <v>80</v>
      </c>
      <c r="H2" s="49"/>
      <c r="L2" s="50" t="s">
        <v>81</v>
      </c>
      <c r="M2" s="51"/>
      <c r="Q2" s="50" t="s">
        <v>84</v>
      </c>
      <c r="R2" s="51"/>
    </row>
    <row r="3" spans="1:18" ht="33.75" customHeight="1">
      <c r="A3" s="37" t="s">
        <v>71</v>
      </c>
      <c r="B3" s="35"/>
      <c r="C3" s="35"/>
      <c r="D3" s="38"/>
      <c r="G3" s="39"/>
      <c r="H3" s="38"/>
      <c r="L3" s="39"/>
      <c r="M3" s="38"/>
      <c r="Q3" s="39"/>
      <c r="R3" s="38"/>
    </row>
    <row r="4" spans="1:18">
      <c r="A4" s="39" t="s">
        <v>72</v>
      </c>
      <c r="B4" s="35" t="s">
        <v>73</v>
      </c>
      <c r="C4" s="35" t="s">
        <v>74</v>
      </c>
      <c r="D4" s="38">
        <v>706.10489487550842</v>
      </c>
      <c r="G4" s="39" t="s">
        <v>78</v>
      </c>
      <c r="H4" s="38" t="s">
        <v>79</v>
      </c>
      <c r="L4" s="39" t="s">
        <v>82</v>
      </c>
      <c r="M4" s="38" t="s">
        <v>83</v>
      </c>
      <c r="Q4" s="39" t="s">
        <v>82</v>
      </c>
      <c r="R4" s="38" t="s">
        <v>83</v>
      </c>
    </row>
    <row r="5" spans="1:18">
      <c r="A5" s="39">
        <v>12.788763977285557</v>
      </c>
      <c r="B5" s="35">
        <v>-4.6112360227144418</v>
      </c>
      <c r="C5" s="35" t="s">
        <v>75</v>
      </c>
      <c r="D5" s="38">
        <v>702.77217608224305</v>
      </c>
      <c r="G5" s="39">
        <v>15.31031715975255</v>
      </c>
      <c r="H5" s="38">
        <v>4.3667743728246426</v>
      </c>
      <c r="L5" s="39">
        <v>44.147759546827395</v>
      </c>
      <c r="M5" s="38">
        <v>-3.2522404531726039</v>
      </c>
      <c r="Q5" s="39">
        <v>14.864085122192961</v>
      </c>
      <c r="R5" s="38">
        <v>-2.5359148778070377</v>
      </c>
    </row>
    <row r="6" spans="1:18">
      <c r="A6" s="39">
        <v>12.314167740724386</v>
      </c>
      <c r="B6" s="35">
        <v>-3.2858322592756135</v>
      </c>
      <c r="C6" s="35" t="s">
        <v>76</v>
      </c>
      <c r="D6" s="38">
        <v>29.529</v>
      </c>
      <c r="G6" s="39">
        <v>14.823545742481658</v>
      </c>
      <c r="H6" s="38">
        <v>0.6028812140183597</v>
      </c>
      <c r="L6" s="39">
        <v>42.703800833626893</v>
      </c>
      <c r="M6" s="38">
        <v>-2.8961991663731066</v>
      </c>
      <c r="Q6" s="39">
        <v>14.843218674403026</v>
      </c>
      <c r="R6" s="38">
        <v>-0.75678132559697353</v>
      </c>
    </row>
    <row r="7" spans="1:18">
      <c r="A7" s="39">
        <v>12.488896227691086</v>
      </c>
      <c r="B7" s="35">
        <v>-2.511103772308914</v>
      </c>
      <c r="C7" s="35"/>
      <c r="D7" s="38"/>
      <c r="G7" s="39">
        <v>14.646742038733345</v>
      </c>
      <c r="H7" s="38">
        <v>0.12479118719827344</v>
      </c>
      <c r="L7" s="39">
        <v>42.154610569660051</v>
      </c>
      <c r="M7" s="38">
        <v>-2.8453894303399494</v>
      </c>
      <c r="Q7" s="39">
        <v>14.74333497433647</v>
      </c>
      <c r="R7" s="38">
        <v>-0.25666502566352989</v>
      </c>
    </row>
    <row r="8" spans="1:18">
      <c r="A8" s="39">
        <v>12.424527357917988</v>
      </c>
      <c r="B8" s="35">
        <v>-2.4754726420820123</v>
      </c>
      <c r="C8" s="35"/>
      <c r="D8" s="38"/>
      <c r="G8" s="39">
        <v>15.456182522752117</v>
      </c>
      <c r="H8" s="38">
        <v>0.30933899861490899</v>
      </c>
      <c r="L8" s="39">
        <v>44.44220163470834</v>
      </c>
      <c r="M8" s="38">
        <v>-0.4577983652916604</v>
      </c>
      <c r="Q8" s="39">
        <v>14.739514335812622</v>
      </c>
      <c r="R8" s="38">
        <v>-0.16048566418737842</v>
      </c>
    </row>
    <row r="9" spans="1:18">
      <c r="A9" s="39">
        <v>12.448204025112535</v>
      </c>
      <c r="B9" s="35">
        <v>0.84820402511253512</v>
      </c>
      <c r="C9" s="35"/>
      <c r="D9" s="38"/>
      <c r="G9" s="39">
        <v>15.05459001532776</v>
      </c>
      <c r="H9" s="38">
        <v>11.934192174002254</v>
      </c>
      <c r="L9" s="39">
        <v>43.246523581065176</v>
      </c>
      <c r="M9" s="38">
        <v>1.6465235810651766</v>
      </c>
      <c r="Q9" s="39">
        <v>14.772543249009054</v>
      </c>
      <c r="R9" s="38">
        <v>3.1725432490090544</v>
      </c>
    </row>
    <row r="10" spans="1:18">
      <c r="A10" s="39">
        <v>12.43946228855336</v>
      </c>
      <c r="B10" s="35">
        <v>-1.4605377114466407</v>
      </c>
      <c r="C10" s="35"/>
      <c r="D10" s="38"/>
      <c r="G10" s="39">
        <v>14.90031421136292</v>
      </c>
      <c r="H10" s="38">
        <v>1.0006285214546196</v>
      </c>
      <c r="L10" s="39">
        <v>42.762816280811833</v>
      </c>
      <c r="M10" s="38">
        <v>-1.1371837191881671</v>
      </c>
      <c r="Q10" s="39">
        <v>14.726541711256026</v>
      </c>
      <c r="R10" s="38">
        <v>0.82654171125602538</v>
      </c>
    </row>
    <row r="11" spans="1:18">
      <c r="A11" s="39">
        <v>12.442660269840218</v>
      </c>
      <c r="B11" s="35">
        <v>-0.25733973015978151</v>
      </c>
      <c r="C11" s="35"/>
      <c r="D11" s="38"/>
      <c r="G11" s="39">
        <v>14.913012056449908</v>
      </c>
      <c r="H11" s="38">
        <v>4.8974223619926542</v>
      </c>
      <c r="L11" s="39">
        <v>42.758701330335725</v>
      </c>
      <c r="M11" s="38">
        <v>5.8701330335725999E-2</v>
      </c>
      <c r="Q11" s="39">
        <v>14.734885866618853</v>
      </c>
      <c r="R11" s="38">
        <v>2.0348858666188541</v>
      </c>
    </row>
    <row r="12" spans="1:18">
      <c r="A12" s="39">
        <v>12.441463772397539</v>
      </c>
      <c r="B12" s="35">
        <v>-3.0585362276024615</v>
      </c>
      <c r="C12" s="35"/>
      <c r="D12" s="38"/>
      <c r="G12" s="39">
        <v>15.525793691286085</v>
      </c>
      <c r="H12" s="38">
        <v>6.6531451016183418E-4</v>
      </c>
      <c r="L12" s="39">
        <v>44.473455416347825</v>
      </c>
      <c r="M12" s="38">
        <v>-1.0265445836521749</v>
      </c>
      <c r="Q12" s="39">
        <v>14.747743258763428</v>
      </c>
      <c r="R12" s="38">
        <v>-0.75225674123657171</v>
      </c>
    </row>
    <row r="13" spans="1:18">
      <c r="A13" s="39">
        <v>12.441887323362417</v>
      </c>
      <c r="B13" s="35">
        <v>-3.1581126766375824</v>
      </c>
      <c r="C13" s="35"/>
      <c r="D13" s="38"/>
      <c r="G13" s="39">
        <v>15.576265507625971</v>
      </c>
      <c r="H13" s="38">
        <v>5.6332612825283148E-4</v>
      </c>
      <c r="L13" s="39">
        <v>44.575681322337992</v>
      </c>
      <c r="M13" s="38">
        <v>-1.0243186776620075</v>
      </c>
      <c r="Q13" s="39">
        <v>14.654684202622533</v>
      </c>
      <c r="R13" s="38">
        <v>-0.94531579737746618</v>
      </c>
    </row>
    <row r="14" spans="1:18">
      <c r="A14" s="39">
        <v>12.441716011192424</v>
      </c>
      <c r="B14" s="35">
        <v>-1.8582839888075764</v>
      </c>
      <c r="C14" s="35"/>
      <c r="D14" s="38"/>
      <c r="G14" s="39">
        <v>15.883482801271798</v>
      </c>
      <c r="H14" s="38">
        <v>2.5074177819235786</v>
      </c>
      <c r="L14" s="39">
        <v>45.411686476105324</v>
      </c>
      <c r="M14" s="38">
        <v>1.1116864761053229</v>
      </c>
      <c r="Q14" s="39">
        <v>14.621925248966633</v>
      </c>
      <c r="R14" s="38">
        <v>0.32192524896663244</v>
      </c>
    </row>
    <row r="15" spans="1:18">
      <c r="A15" s="39">
        <v>12.441765264664227</v>
      </c>
      <c r="B15" s="35">
        <v>-5.5582347353357733</v>
      </c>
      <c r="C15" s="35"/>
      <c r="D15" s="38"/>
      <c r="G15" s="39">
        <v>15.614689920811816</v>
      </c>
      <c r="H15" s="38">
        <v>5.6897041738767387</v>
      </c>
      <c r="L15" s="39">
        <v>44.60075003778104</v>
      </c>
      <c r="M15" s="38">
        <v>-3.3992499622189598</v>
      </c>
      <c r="Q15" s="39">
        <v>14.64963650122607</v>
      </c>
      <c r="R15" s="38">
        <v>-3.3503634987739304</v>
      </c>
    </row>
    <row r="16" spans="1:18">
      <c r="A16" s="39">
        <v>12.441734668426442</v>
      </c>
      <c r="B16" s="35">
        <v>-3.158265331573558</v>
      </c>
      <c r="C16" s="35"/>
      <c r="D16" s="38"/>
      <c r="G16" s="39">
        <v>14.67315300451927</v>
      </c>
      <c r="H16" s="38">
        <v>0.85904535303165652</v>
      </c>
      <c r="L16" s="39">
        <v>41.87152768414974</v>
      </c>
      <c r="M16" s="38">
        <v>-3.7284723158502597</v>
      </c>
      <c r="Q16" s="39">
        <v>14.607698662220592</v>
      </c>
      <c r="R16" s="38">
        <v>-0.99230133777940743</v>
      </c>
    </row>
    <row r="17" spans="1:18">
      <c r="A17" s="40"/>
      <c r="B17" s="41">
        <v>111.06279465643661</v>
      </c>
      <c r="C17" s="42"/>
      <c r="D17" s="43"/>
      <c r="G17" s="44"/>
      <c r="H17" s="45">
        <v>32.2934247795761</v>
      </c>
      <c r="L17" s="40"/>
      <c r="M17" s="45">
        <v>60.073805962975875</v>
      </c>
      <c r="Q17" s="40"/>
      <c r="R17" s="45">
        <v>35.756922729813034</v>
      </c>
    </row>
  </sheetData>
  <mergeCells count="4">
    <mergeCell ref="A2:D2"/>
    <mergeCell ref="G2:H2"/>
    <mergeCell ref="L2:M2"/>
    <mergeCell ref="Q2:R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Dane empiryczne</vt:lpstr>
      <vt:lpstr>Fourier multi, liniowy</vt:lpstr>
      <vt:lpstr>Fourier addytywne, liniowy</vt:lpstr>
      <vt:lpstr>Porównanie metod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Pawel</dc:creator>
  <cp:lastModifiedBy>Pawel</cp:lastModifiedBy>
  <dcterms:created xsi:type="dcterms:W3CDTF">2015-06-05T18:17:20Z</dcterms:created>
  <dcterms:modified xsi:type="dcterms:W3CDTF">2018-06-29T18:20:31Z</dcterms:modified>
</cp:coreProperties>
</file>